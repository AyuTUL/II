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s\Documents\AyushtulCSIT2\"/>
    </mc:Choice>
  </mc:AlternateContent>
  <bookViews>
    <workbookView xWindow="0" yWindow="0" windowWidth="16815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F11" i="1"/>
  <c r="F12" i="1"/>
  <c r="F13" i="1"/>
  <c r="F14" i="1"/>
  <c r="C7" i="1" l="1"/>
  <c r="D7" i="1"/>
  <c r="E7" i="1"/>
  <c r="F7" i="1"/>
  <c r="G7" i="1"/>
  <c r="H7" i="1"/>
  <c r="I7" i="1"/>
  <c r="J7" i="1"/>
  <c r="K7" i="1"/>
  <c r="L7" i="1"/>
  <c r="M7" i="1"/>
  <c r="N7" i="1"/>
  <c r="O7" i="1"/>
  <c r="P7" i="1"/>
  <c r="B7" i="1"/>
  <c r="C13" i="1" l="1"/>
  <c r="D13" i="1" s="1"/>
  <c r="C14" i="1"/>
  <c r="D14" i="1" s="1"/>
  <c r="C10" i="1"/>
  <c r="C11" i="1"/>
  <c r="D11" i="1" s="1"/>
  <c r="C12" i="1"/>
  <c r="D12" i="1" s="1"/>
  <c r="D10" i="1" l="1"/>
  <c r="D15" i="1" s="1"/>
  <c r="C15" i="1"/>
  <c r="C19" i="1" s="1"/>
  <c r="C17" i="1" l="1"/>
  <c r="C20" i="1" s="1"/>
  <c r="E13" i="1" l="1"/>
  <c r="E10" i="1"/>
  <c r="C21" i="1"/>
  <c r="E14" i="1"/>
  <c r="E11" i="1"/>
  <c r="E12" i="1"/>
  <c r="E15" i="1" l="1"/>
  <c r="F10" i="1"/>
</calcChain>
</file>

<file path=xl/sharedStrings.xml><?xml version="1.0" encoding="utf-8"?>
<sst xmlns="http://schemas.openxmlformats.org/spreadsheetml/2006/main" count="93" uniqueCount="34">
  <si>
    <t>x</t>
  </si>
  <si>
    <t>No. of males in the sequence</t>
  </si>
  <si>
    <t>Seq 1</t>
  </si>
  <si>
    <t>Seq 2</t>
  </si>
  <si>
    <t>Seq 4</t>
  </si>
  <si>
    <t>Seq 5</t>
  </si>
  <si>
    <t>Seq 6</t>
  </si>
  <si>
    <t>Seq 7</t>
  </si>
  <si>
    <t>Seq 8</t>
  </si>
  <si>
    <t>Seq 9</t>
  </si>
  <si>
    <t>Seq 10</t>
  </si>
  <si>
    <t>Seq 11</t>
  </si>
  <si>
    <t>Seq 12</t>
  </si>
  <si>
    <t>Seq 13</t>
  </si>
  <si>
    <t>Seq 14</t>
  </si>
  <si>
    <t>Seq 15</t>
  </si>
  <si>
    <t>Seq 17</t>
  </si>
  <si>
    <t>Seq 18</t>
  </si>
  <si>
    <t>Seq 19</t>
  </si>
  <si>
    <t>Seq 20</t>
  </si>
  <si>
    <t>F</t>
  </si>
  <si>
    <t>M</t>
  </si>
  <si>
    <t>Seq 3</t>
  </si>
  <si>
    <t>X</t>
  </si>
  <si>
    <t>f</t>
  </si>
  <si>
    <t>fX</t>
  </si>
  <si>
    <t>P(X=x)</t>
  </si>
  <si>
    <t>Total</t>
  </si>
  <si>
    <t>Mean</t>
  </si>
  <si>
    <t>n</t>
  </si>
  <si>
    <t>N</t>
  </si>
  <si>
    <r>
      <t>Estimated Freq.(f</t>
    </r>
    <r>
      <rPr>
        <vertAlign val="sub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)</t>
    </r>
  </si>
  <si>
    <t>Est. p</t>
  </si>
  <si>
    <t>Est.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</si>
</sst>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Binomial Distribution</a:t>
            </a:r>
            <a:r>
              <a:rPr lang="en-US" baseline="0"/>
              <a:t> with n = 4, p = 0.6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Sheet1!$E$9</c:f>
              <c:strCache>
                <c:ptCount val="1"/>
                <c:pt idx="0">
                  <c:v>P(X=x)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Sheet1!$B$10:$B$14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Sheet1!$E$10:$E$14</c:f>
              <c:numCache>
                <c:formatCode>General</c:formatCode>
                <c:ptCount val="5"/>
                <c:pt idx="0">
                  <c:v>2.5600000000000008E-2</c:v>
                </c:pt>
                <c:pt idx="1">
                  <c:v>0.15360000000000001</c:v>
                </c:pt>
                <c:pt idx="2">
                  <c:v>0.34560000000000002</c:v>
                </c:pt>
                <c:pt idx="3">
                  <c:v>0.34559999999999991</c:v>
                </c:pt>
                <c:pt idx="4">
                  <c:v>0.12959999999999999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C7-402A-97CC-B3346E6A5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7393200"/>
        <c:axId val="1027379472"/>
      </c:barChart>
      <c:catAx>
        <c:axId val="1027393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 of Males</a:t>
                </a:r>
                <a:r>
                  <a:rPr lang="en-US" baseline="0"/>
                  <a:t> in the Family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379472"/>
        <c:crosses val="autoZero"/>
        <c:auto val="1"/>
        <c:lblAlgn val="ctr"/>
        <c:lblOffset val="100"/>
        <c:noMultiLvlLbl val="0"/>
      </c:catAx>
      <c:valAx>
        <c:axId val="102737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Probability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393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19</xdr:row>
      <xdr:rowOff>9525</xdr:rowOff>
    </xdr:from>
    <xdr:ext cx="112274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/>
            <xdr:cNvSpPr txBox="1"/>
          </xdr:nvSpPr>
          <xdr:spPr>
            <a:xfrm>
              <a:off x="647700" y="3629025"/>
              <a:ext cx="1122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" name="TextBox 1"/>
            <xdr:cNvSpPr txBox="1"/>
          </xdr:nvSpPr>
          <xdr:spPr>
            <a:xfrm>
              <a:off x="647700" y="3629025"/>
              <a:ext cx="1122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𝑝 ̂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66675</xdr:colOff>
      <xdr:row>20</xdr:row>
      <xdr:rowOff>28575</xdr:rowOff>
    </xdr:from>
    <xdr:ext cx="112147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/>
            <xdr:cNvSpPr txBox="1"/>
          </xdr:nvSpPr>
          <xdr:spPr>
            <a:xfrm>
              <a:off x="676275" y="3838575"/>
              <a:ext cx="1121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" name="TextBox 2"/>
            <xdr:cNvSpPr txBox="1"/>
          </xdr:nvSpPr>
          <xdr:spPr>
            <a:xfrm>
              <a:off x="676275" y="3838575"/>
              <a:ext cx="1121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𝑞 ̂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6</xdr:col>
      <xdr:colOff>533400</xdr:colOff>
      <xdr:row>7</xdr:row>
      <xdr:rowOff>133350</xdr:rowOff>
    </xdr:from>
    <xdr:to>
      <xdr:col>14</xdr:col>
      <xdr:colOff>228600</xdr:colOff>
      <xdr:row>21</xdr:row>
      <xdr:rowOff>171450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47625</xdr:colOff>
      <xdr:row>14</xdr:row>
      <xdr:rowOff>180975</xdr:rowOff>
    </xdr:from>
    <xdr:to>
      <xdr:col>6</xdr:col>
      <xdr:colOff>381000</xdr:colOff>
      <xdr:row>17</xdr:row>
      <xdr:rowOff>161925</xdr:rowOff>
    </xdr:to>
    <xdr:sp macro="" textlink="">
      <xdr:nvSpPr>
        <xdr:cNvPr id="5" name="TextBox 4"/>
        <xdr:cNvSpPr txBox="1"/>
      </xdr:nvSpPr>
      <xdr:spPr>
        <a:xfrm>
          <a:off x="1876425" y="2886075"/>
          <a:ext cx="2647950" cy="552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distribution</a:t>
          </a:r>
          <a:r>
            <a:rPr lang="en-US" sz="1100" baseline="0"/>
            <a:t> of X = no. of males is left skewed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"/>
  <sheetViews>
    <sheetView tabSelected="1" topLeftCell="A10" workbookViewId="0">
      <selection activeCell="B20" sqref="B20"/>
    </sheetView>
  </sheetViews>
  <sheetFormatPr defaultRowHeight="15" x14ac:dyDescent="0.25"/>
  <cols>
    <col min="6" max="6" width="16.42578125" bestFit="1" customWidth="1"/>
  </cols>
  <sheetData>
    <row r="1" spans="1:20" x14ac:dyDescent="0.25">
      <c r="B1" t="s">
        <v>0</v>
      </c>
      <c r="C1" t="s">
        <v>1</v>
      </c>
    </row>
    <row r="2" spans="1:20" x14ac:dyDescent="0.25">
      <c r="B2" t="s">
        <v>2</v>
      </c>
      <c r="C2" t="s">
        <v>3</v>
      </c>
      <c r="D2" t="s">
        <v>22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</row>
    <row r="3" spans="1:20" x14ac:dyDescent="0.25">
      <c r="B3" t="s">
        <v>20</v>
      </c>
      <c r="C3" t="s">
        <v>20</v>
      </c>
      <c r="D3" t="s">
        <v>20</v>
      </c>
      <c r="E3" t="s">
        <v>20</v>
      </c>
      <c r="F3" t="s">
        <v>21</v>
      </c>
      <c r="G3" t="s">
        <v>20</v>
      </c>
      <c r="H3" t="s">
        <v>21</v>
      </c>
      <c r="I3" t="s">
        <v>20</v>
      </c>
      <c r="J3" t="s">
        <v>20</v>
      </c>
      <c r="K3" t="s">
        <v>20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</row>
    <row r="4" spans="1:20" x14ac:dyDescent="0.25">
      <c r="B4" t="s">
        <v>20</v>
      </c>
      <c r="C4" t="s">
        <v>21</v>
      </c>
      <c r="D4" t="s">
        <v>20</v>
      </c>
      <c r="E4" t="s">
        <v>20</v>
      </c>
      <c r="F4" t="s">
        <v>21</v>
      </c>
      <c r="G4" t="s">
        <v>21</v>
      </c>
      <c r="H4" t="s">
        <v>21</v>
      </c>
      <c r="I4" t="s">
        <v>21</v>
      </c>
      <c r="J4" t="s">
        <v>20</v>
      </c>
      <c r="K4" t="s">
        <v>20</v>
      </c>
      <c r="L4" t="s">
        <v>21</v>
      </c>
      <c r="M4" t="s">
        <v>20</v>
      </c>
      <c r="N4" t="s">
        <v>21</v>
      </c>
      <c r="O4" t="s">
        <v>21</v>
      </c>
      <c r="P4" t="s">
        <v>21</v>
      </c>
    </row>
    <row r="5" spans="1:20" x14ac:dyDescent="0.25">
      <c r="B5" t="s">
        <v>20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20</v>
      </c>
      <c r="J5" t="s">
        <v>20</v>
      </c>
      <c r="K5" t="s">
        <v>20</v>
      </c>
      <c r="L5" t="s">
        <v>21</v>
      </c>
      <c r="M5" t="s">
        <v>21</v>
      </c>
      <c r="N5" t="s">
        <v>21</v>
      </c>
      <c r="O5" t="s">
        <v>21</v>
      </c>
      <c r="P5" t="s">
        <v>20</v>
      </c>
    </row>
    <row r="6" spans="1:20" x14ac:dyDescent="0.25">
      <c r="B6" t="s">
        <v>20</v>
      </c>
      <c r="C6" t="s">
        <v>21</v>
      </c>
      <c r="D6" t="s">
        <v>20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20</v>
      </c>
      <c r="K6" t="s">
        <v>21</v>
      </c>
      <c r="L6" t="s">
        <v>21</v>
      </c>
      <c r="M6" t="s">
        <v>21</v>
      </c>
      <c r="N6" t="s">
        <v>20</v>
      </c>
      <c r="O6" t="s">
        <v>21</v>
      </c>
      <c r="P6" t="s">
        <v>20</v>
      </c>
    </row>
    <row r="7" spans="1:20" x14ac:dyDescent="0.25">
      <c r="A7" t="s">
        <v>23</v>
      </c>
      <c r="B7">
        <f>COUNTIF(B3:B6,"M")</f>
        <v>0</v>
      </c>
      <c r="C7">
        <f t="shared" ref="C7:P7" si="0">COUNTIF(C3:C6,"M")</f>
        <v>3</v>
      </c>
      <c r="D7">
        <f t="shared" si="0"/>
        <v>1</v>
      </c>
      <c r="E7">
        <f t="shared" si="0"/>
        <v>2</v>
      </c>
      <c r="F7">
        <f t="shared" si="0"/>
        <v>4</v>
      </c>
      <c r="G7">
        <f t="shared" si="0"/>
        <v>3</v>
      </c>
      <c r="H7">
        <f t="shared" si="0"/>
        <v>4</v>
      </c>
      <c r="I7">
        <f t="shared" si="0"/>
        <v>2</v>
      </c>
      <c r="J7">
        <f t="shared" si="0"/>
        <v>0</v>
      </c>
      <c r="K7">
        <f t="shared" si="0"/>
        <v>1</v>
      </c>
      <c r="L7">
        <f t="shared" si="0"/>
        <v>4</v>
      </c>
      <c r="M7">
        <f t="shared" si="0"/>
        <v>3</v>
      </c>
      <c r="N7">
        <f t="shared" si="0"/>
        <v>3</v>
      </c>
      <c r="O7">
        <f t="shared" si="0"/>
        <v>4</v>
      </c>
      <c r="P7">
        <f t="shared" si="0"/>
        <v>2</v>
      </c>
    </row>
    <row r="9" spans="1:20" ht="18" x14ac:dyDescent="0.35">
      <c r="B9" t="s">
        <v>23</v>
      </c>
      <c r="C9" t="s">
        <v>24</v>
      </c>
      <c r="D9" t="s">
        <v>25</v>
      </c>
      <c r="E9" t="s">
        <v>26</v>
      </c>
      <c r="F9" t="s">
        <v>31</v>
      </c>
    </row>
    <row r="10" spans="1:20" x14ac:dyDescent="0.25">
      <c r="B10">
        <v>0</v>
      </c>
      <c r="C10">
        <f>COUNTIF($B$7:$P$7,B10)</f>
        <v>2</v>
      </c>
      <c r="D10">
        <f>C10*B10</f>
        <v>0</v>
      </c>
      <c r="E10">
        <f>_xlfn.BINOM.DIST(B10,$C$18,$C$20,0)</f>
        <v>2.5600000000000008E-2</v>
      </c>
      <c r="F10">
        <f>$C$19*E10</f>
        <v>0.38400000000000012</v>
      </c>
    </row>
    <row r="11" spans="1:20" x14ac:dyDescent="0.25">
      <c r="B11">
        <v>1</v>
      </c>
      <c r="C11">
        <f t="shared" ref="C11:C14" si="1">COUNTIF($B$7:$P$7,B11)</f>
        <v>2</v>
      </c>
      <c r="D11">
        <f t="shared" ref="D11:D14" si="2">C11*B11</f>
        <v>2</v>
      </c>
      <c r="E11">
        <f t="shared" ref="E11:E14" si="3">_xlfn.BINOM.DIST(B11,$C$18,$C$20,0)</f>
        <v>0.15360000000000001</v>
      </c>
      <c r="F11">
        <f t="shared" ref="F11:F14" si="4">$C$19*E11</f>
        <v>2.3040000000000003</v>
      </c>
    </row>
    <row r="12" spans="1:20" x14ac:dyDescent="0.25">
      <c r="B12">
        <v>2</v>
      </c>
      <c r="C12">
        <f t="shared" si="1"/>
        <v>3</v>
      </c>
      <c r="D12">
        <f t="shared" si="2"/>
        <v>6</v>
      </c>
      <c r="E12">
        <f t="shared" si="3"/>
        <v>0.34560000000000002</v>
      </c>
      <c r="F12">
        <f t="shared" si="4"/>
        <v>5.1840000000000002</v>
      </c>
    </row>
    <row r="13" spans="1:20" x14ac:dyDescent="0.25">
      <c r="B13">
        <v>3</v>
      </c>
      <c r="C13">
        <f t="shared" si="1"/>
        <v>4</v>
      </c>
      <c r="D13">
        <f t="shared" si="2"/>
        <v>12</v>
      </c>
      <c r="E13">
        <f t="shared" si="3"/>
        <v>0.34559999999999991</v>
      </c>
      <c r="F13">
        <f t="shared" si="4"/>
        <v>5.1839999999999984</v>
      </c>
    </row>
    <row r="14" spans="1:20" x14ac:dyDescent="0.25">
      <c r="B14">
        <v>4</v>
      </c>
      <c r="C14">
        <f t="shared" si="1"/>
        <v>4</v>
      </c>
      <c r="D14">
        <f t="shared" si="2"/>
        <v>16</v>
      </c>
      <c r="E14">
        <f t="shared" si="3"/>
        <v>0.12959999999999999</v>
      </c>
      <c r="F14">
        <f t="shared" si="4"/>
        <v>1.944</v>
      </c>
    </row>
    <row r="15" spans="1:20" x14ac:dyDescent="0.25">
      <c r="B15" t="s">
        <v>27</v>
      </c>
      <c r="C15">
        <f>SUM(C10:C14)</f>
        <v>15</v>
      </c>
      <c r="D15">
        <f>SUM(D10:D14)</f>
        <v>36</v>
      </c>
      <c r="E15">
        <f>SUM(E10:E14)</f>
        <v>1</v>
      </c>
      <c r="F15">
        <f>SUM(F10:F14)</f>
        <v>15</v>
      </c>
    </row>
    <row r="17" spans="1:3" x14ac:dyDescent="0.25">
      <c r="B17" t="s">
        <v>28</v>
      </c>
      <c r="C17">
        <f>D15/C15</f>
        <v>2.4</v>
      </c>
    </row>
    <row r="18" spans="1:3" x14ac:dyDescent="0.25">
      <c r="B18" t="s">
        <v>29</v>
      </c>
      <c r="C18">
        <v>4</v>
      </c>
    </row>
    <row r="19" spans="1:3" x14ac:dyDescent="0.25">
      <c r="B19" t="s">
        <v>30</v>
      </c>
      <c r="C19">
        <f>C15</f>
        <v>15</v>
      </c>
    </row>
    <row r="20" spans="1:3" x14ac:dyDescent="0.25">
      <c r="A20" t="s">
        <v>32</v>
      </c>
      <c r="C20">
        <f>C17/C18</f>
        <v>0.6</v>
      </c>
    </row>
    <row r="21" spans="1:3" x14ac:dyDescent="0.25">
      <c r="A21" t="s">
        <v>33</v>
      </c>
      <c r="C21">
        <f>1-C20</f>
        <v>0.4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Students</dc:creator>
  <cp:lastModifiedBy>Students</cp:lastModifiedBy>
  <dcterms:created xsi:type="dcterms:W3CDTF">2024-07-23T06:24:18Z</dcterms:created>
  <dcterms:modified xsi:type="dcterms:W3CDTF">2024-07-23T07:08:22Z</dcterms:modified>
</cp:coreProperties>
</file>