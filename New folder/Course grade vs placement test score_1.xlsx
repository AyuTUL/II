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BScCSIT\STAT I\Lab Work STAT I\Lab 13 Correlation and Regression\Lab Simple Linear Regression\"/>
    </mc:Choice>
  </mc:AlternateContent>
  <xr:revisionPtr revIDLastSave="0" documentId="13_ncr:1_{76513AD1-AA4C-4314-AB9D-9F6C064158E7}" xr6:coauthVersionLast="47" xr6:coauthVersionMax="47" xr10:uidLastSave="{00000000-0000-0000-0000-000000000000}"/>
  <bookViews>
    <workbookView xWindow="-107" yWindow="-107" windowWidth="20847" windowHeight="11111" firstSheet="1" activeTab="3" xr2:uid="{3703AEA5-6C2B-4688-82D8-F6B96278A1A7}"/>
  </bookViews>
  <sheets>
    <sheet name="Sheet4" sheetId="4" r:id="rId1"/>
    <sheet name="Karl Pearson corr" sheetId="1" r:id="rId2"/>
    <sheet name="Scatter diagram" sheetId="3" r:id="rId3"/>
    <sheet name="Regression Fitting" sheetId="7" r:id="rId4"/>
    <sheet name="Spearmans corr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7" l="1"/>
  <c r="F32" i="7"/>
  <c r="C30" i="7"/>
  <c r="C32" i="7" s="1"/>
  <c r="J2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" i="7"/>
  <c r="F25" i="7"/>
  <c r="I2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" i="7"/>
  <c r="H2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" i="7"/>
  <c r="G2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" i="7"/>
  <c r="C22" i="7"/>
  <c r="D22" i="7"/>
  <c r="E22" i="7"/>
  <c r="F22" i="7"/>
  <c r="B2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" i="7"/>
  <c r="C26" i="7"/>
  <c r="C24" i="7"/>
  <c r="C34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" i="6"/>
  <c r="D3" i="6"/>
  <c r="F3" i="6" s="1"/>
  <c r="G3" i="6" s="1"/>
  <c r="D4" i="6"/>
  <c r="F4" i="6" s="1"/>
  <c r="G4" i="6" s="1"/>
  <c r="D5" i="6"/>
  <c r="F5" i="6" s="1"/>
  <c r="D6" i="6"/>
  <c r="F6" i="6" s="1"/>
  <c r="G6" i="6" s="1"/>
  <c r="D7" i="6"/>
  <c r="F7" i="6" s="1"/>
  <c r="G7" i="6" s="1"/>
  <c r="D8" i="6"/>
  <c r="F8" i="6" s="1"/>
  <c r="G8" i="6" s="1"/>
  <c r="D9" i="6"/>
  <c r="F9" i="6" s="1"/>
  <c r="G9" i="6" s="1"/>
  <c r="D10" i="6"/>
  <c r="F10" i="6" s="1"/>
  <c r="G10" i="6" s="1"/>
  <c r="D11" i="6"/>
  <c r="F11" i="6" s="1"/>
  <c r="G11" i="6" s="1"/>
  <c r="D12" i="6"/>
  <c r="F12" i="6" s="1"/>
  <c r="G12" i="6" s="1"/>
  <c r="D13" i="6"/>
  <c r="F13" i="6" s="1"/>
  <c r="G13" i="6" s="1"/>
  <c r="D14" i="6"/>
  <c r="F14" i="6" s="1"/>
  <c r="G14" i="6" s="1"/>
  <c r="D15" i="6"/>
  <c r="D16" i="6"/>
  <c r="F16" i="6" s="1"/>
  <c r="G16" i="6" s="1"/>
  <c r="D17" i="6"/>
  <c r="F17" i="6" s="1"/>
  <c r="G17" i="6" s="1"/>
  <c r="D18" i="6"/>
  <c r="F18" i="6" s="1"/>
  <c r="G18" i="6" s="1"/>
  <c r="D19" i="6"/>
  <c r="F19" i="6" s="1"/>
  <c r="G19" i="6" s="1"/>
  <c r="D20" i="6"/>
  <c r="F20" i="6" s="1"/>
  <c r="G20" i="6" s="1"/>
  <c r="D21" i="6"/>
  <c r="F21" i="6" s="1"/>
  <c r="G21" i="6" s="1"/>
  <c r="D2" i="6"/>
  <c r="F2" i="6" s="1"/>
  <c r="G2" i="6" s="1"/>
  <c r="I7" i="1"/>
  <c r="I4" i="1"/>
  <c r="C22" i="1"/>
  <c r="D22" i="1"/>
  <c r="E22" i="1"/>
  <c r="F22" i="1"/>
  <c r="B2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F15" i="6" l="1"/>
  <c r="G15" i="6" s="1"/>
  <c r="G5" i="6"/>
  <c r="G22" i="6" s="1"/>
  <c r="F22" i="6" l="1"/>
</calcChain>
</file>

<file path=xl/sharedStrings.xml><?xml version="1.0" encoding="utf-8"?>
<sst xmlns="http://schemas.openxmlformats.org/spreadsheetml/2006/main" count="81" uniqueCount="66">
  <si>
    <t xml:space="preserve">Course Grade </t>
  </si>
  <si>
    <t>Placement test score</t>
  </si>
  <si>
    <t>S.N.</t>
  </si>
  <si>
    <t>X</t>
  </si>
  <si>
    <t>Y</t>
  </si>
  <si>
    <t>d = Rx - Ry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</si>
  <si>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</si>
  <si>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</si>
  <si>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</si>
  <si>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</si>
  <si>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</si>
  <si>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</si>
  <si>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</si>
  <si>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</si>
  <si>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</si>
  <si>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</si>
  <si>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</si>
  <si>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</si>
  <si>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</si>
  <si>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</si>
  <si>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</si>
  <si>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</si>
  <si>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</si>
  <si>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</si>
  <si>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</si>
  <si>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</si>
  <si>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</si>
  <si>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</si>
  <si>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</si>
  <si>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</si>
  <si>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</si>
  <si>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</si>
  <si>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</si>
  <si>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</si>
  <si>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</si>
  <si>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Course Grade (Y)</t>
  </si>
  <si>
    <t>Placement test score (X)</t>
  </si>
  <si>
    <t>X^2</t>
  </si>
  <si>
    <t>Y^2</t>
  </si>
  <si>
    <t>XY</t>
  </si>
  <si>
    <t>rxy</t>
  </si>
  <si>
    <t>Direct comp</t>
  </si>
  <si>
    <t>Rank of X (Rx)</t>
  </si>
  <si>
    <t>Rank of Y (Ry)</t>
  </si>
  <si>
    <t>d^2</t>
  </si>
  <si>
    <t>Using formula</t>
  </si>
  <si>
    <t>n</t>
  </si>
  <si>
    <r>
      <t>∑</t>
    </r>
    <r>
      <rPr>
        <sz val="13.2"/>
        <color theme="1"/>
        <rFont val="Calibri"/>
        <family val="2"/>
      </rPr>
      <t>d^2</t>
    </r>
  </si>
  <si>
    <t>Adj due to tied obs in X</t>
  </si>
  <si>
    <r>
      <rPr>
        <sz val="11"/>
        <color theme="1"/>
        <rFont val="Calibri"/>
        <family val="2"/>
      </rPr>
      <t>∑</t>
    </r>
    <r>
      <rPr>
        <sz val="12.1"/>
        <color theme="1"/>
        <rFont val="Calibri"/>
        <family val="2"/>
      </rPr>
      <t>Tx</t>
    </r>
  </si>
  <si>
    <t>Adj due to tied obs in Y</t>
  </si>
  <si>
    <t>∑Ty</t>
  </si>
  <si>
    <t>Adj d^2</t>
  </si>
  <si>
    <t>∑d^2</t>
  </si>
  <si>
    <t>rS</t>
  </si>
  <si>
    <t>Slope</t>
  </si>
  <si>
    <t>Est Y</t>
  </si>
  <si>
    <t>Error e</t>
  </si>
  <si>
    <t>(Y-Ycap)^2</t>
  </si>
  <si>
    <t>SSE</t>
  </si>
  <si>
    <t>SSR</t>
  </si>
  <si>
    <t>Mean of Y</t>
  </si>
  <si>
    <t>(Ycap - Ybar)^2</t>
  </si>
  <si>
    <t>SST</t>
  </si>
  <si>
    <t>R^2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</si>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</sst>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3.2"/>
      <color theme="1"/>
      <name val="Calibri"/>
      <family val="2"/>
    </font>
    <font>
      <sz val="12.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Scatter diagram of placement test score vs course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diagram'!$D$2</c:f>
              <c:strCache>
                <c:ptCount val="1"/>
                <c:pt idx="0">
                  <c:v>Placement test 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'Scatter diagram'!$C$3:$C$22</c:f>
              <c:numCache>
                <c:formatCode>General</c:formatCode>
                <c:ptCount val="20"/>
                <c:pt idx="0">
                  <c:v>50</c:v>
                </c:pt>
                <c:pt idx="1">
                  <c:v>31</c:v>
                </c:pt>
                <c:pt idx="2">
                  <c:v>35</c:v>
                </c:pt>
                <c:pt idx="3">
                  <c:v>40</c:v>
                </c:pt>
                <c:pt idx="4">
                  <c:v>55</c:v>
                </c:pt>
                <c:pt idx="5">
                  <c:v>65</c:v>
                </c:pt>
                <c:pt idx="6">
                  <c:v>25</c:v>
                </c:pt>
                <c:pt idx="7">
                  <c:v>60</c:v>
                </c:pt>
                <c:pt idx="8">
                  <c:v>90</c:v>
                </c:pt>
                <c:pt idx="9">
                  <c:v>35</c:v>
                </c:pt>
                <c:pt idx="10">
                  <c:v>90</c:v>
                </c:pt>
                <c:pt idx="11">
                  <c:v>80</c:v>
                </c:pt>
                <c:pt idx="12">
                  <c:v>58</c:v>
                </c:pt>
                <c:pt idx="13">
                  <c:v>60</c:v>
                </c:pt>
                <c:pt idx="14">
                  <c:v>62</c:v>
                </c:pt>
                <c:pt idx="15">
                  <c:v>40</c:v>
                </c:pt>
                <c:pt idx="16">
                  <c:v>55</c:v>
                </c:pt>
                <c:pt idx="17">
                  <c:v>50</c:v>
                </c:pt>
                <c:pt idx="18">
                  <c:v>65</c:v>
                </c:pt>
                <c:pt idx="19">
                  <c:v>50</c:v>
                </c:pt>
              </c:numCache>
            </c:numRef>
          </c:xVal>
          <c:yVal>
            <c:numRef>
              <c:f>'Scatter diagram'!$D$3:$D$22</c:f>
              <c:numCache>
                <c:formatCode>General</c:formatCode>
                <c:ptCount val="20"/>
                <c:pt idx="0">
                  <c:v>53</c:v>
                </c:pt>
                <c:pt idx="1">
                  <c:v>41</c:v>
                </c:pt>
                <c:pt idx="2">
                  <c:v>61</c:v>
                </c:pt>
                <c:pt idx="3">
                  <c:v>56</c:v>
                </c:pt>
                <c:pt idx="4">
                  <c:v>68</c:v>
                </c:pt>
                <c:pt idx="5">
                  <c:v>46</c:v>
                </c:pt>
                <c:pt idx="6">
                  <c:v>36</c:v>
                </c:pt>
                <c:pt idx="7">
                  <c:v>70</c:v>
                </c:pt>
                <c:pt idx="8">
                  <c:v>79</c:v>
                </c:pt>
                <c:pt idx="9">
                  <c:v>59</c:v>
                </c:pt>
                <c:pt idx="10">
                  <c:v>64</c:v>
                </c:pt>
                <c:pt idx="11">
                  <c:v>91</c:v>
                </c:pt>
                <c:pt idx="12">
                  <c:v>48</c:v>
                </c:pt>
                <c:pt idx="13">
                  <c:v>71</c:v>
                </c:pt>
                <c:pt idx="14">
                  <c:v>73</c:v>
                </c:pt>
                <c:pt idx="15">
                  <c:v>47</c:v>
                </c:pt>
                <c:pt idx="16">
                  <c:v>53</c:v>
                </c:pt>
                <c:pt idx="17">
                  <c:v>68</c:v>
                </c:pt>
                <c:pt idx="18">
                  <c:v>57</c:v>
                </c:pt>
                <c:pt idx="19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60-408E-9DD1-EFB426325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953920"/>
        <c:axId val="460954248"/>
      </c:scatterChart>
      <c:valAx>
        <c:axId val="46095392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Placement test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954248"/>
        <c:crosses val="autoZero"/>
        <c:crossBetween val="midCat"/>
      </c:valAx>
      <c:valAx>
        <c:axId val="460954248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Course 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95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341312</xdr:colOff>
      <xdr:row>0</xdr:row>
      <xdr:rowOff>184149</xdr:rowOff>
    </xdr:from>
    <xdr:to>
      <xdr:col>12</xdr:col>
      <xdr:colOff>507999</xdr:colOff>
      <xdr:row>20</xdr:row>
      <xdr:rowOff>111124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BDFAE3-24A5-1CC2-33CD-6D94D4037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DC71-E657-4A15-9DDE-4E8A79006458}">
  <dimension ref="A1:I44"/>
  <sheetViews>
    <sheetView topLeftCell="A2" workbookViewId="0">
      <selection activeCell="B18" sqref="B18"/>
    </sheetView>
  </sheetViews>
  <sheetFormatPr defaultRowHeight="14" x14ac:dyDescent="0.3"/>
  <cols>
    <col min="1" max="1" width="18.59765625" customWidth="1"/>
    <col min="2" max="2" width="19.09765625" customWidth="1"/>
  </cols>
  <sheetData>
    <row r="1" spans="1:9" x14ac:dyDescent="0.3">
      <c r="A1" t="s">
        <v>6</v>
      </c>
    </row>
    <row r="2" spans="1:9" ht="14.55" thickBot="1" x14ac:dyDescent="0.35"/>
    <row r="3" spans="1:9" x14ac:dyDescent="0.3">
      <c r="A3" s="5" t="s">
        <v>7</v>
      </c>
      <c r="B3" s="5"/>
    </row>
    <row r="4" spans="1:9" x14ac:dyDescent="0.3">
      <c r="A4" t="s">
        <v>8</v>
      </c>
      <c r="B4">
        <v>0.60184414866095381</v>
      </c>
    </row>
    <row r="5" spans="1:9" x14ac:dyDescent="0.3">
      <c r="A5" t="s">
        <v>9</v>
      </c>
      <c r="B5">
        <v>0.36221637927742822</v>
      </c>
    </row>
    <row r="6" spans="1:9" x14ac:dyDescent="0.3">
      <c r="A6" t="s">
        <v>10</v>
      </c>
      <c r="B6">
        <v>0.32678395590395204</v>
      </c>
    </row>
    <row r="7" spans="1:9" x14ac:dyDescent="0.3">
      <c r="A7" t="s">
        <v>11</v>
      </c>
      <c r="B7">
        <v>14.801545872066136</v>
      </c>
    </row>
    <row r="8" spans="1:9" ht="14.55" thickBot="1" x14ac:dyDescent="0.35">
      <c r="A8" s="3" t="s">
        <v>12</v>
      </c>
      <c r="B8" s="3">
        <v>20</v>
      </c>
    </row>
    <row r="10" spans="1:9" ht="14.55" thickBot="1" x14ac:dyDescent="0.35">
      <c r="A10" t="s">
        <v>13</v>
      </c>
    </row>
    <row r="11" spans="1:9" x14ac:dyDescent="0.3">
      <c r="A11" s="4"/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</row>
    <row r="12" spans="1:9" x14ac:dyDescent="0.3">
      <c r="A12" t="s">
        <v>14</v>
      </c>
      <c r="B12">
        <v>1</v>
      </c>
      <c r="C12">
        <v>2239.6563163481937</v>
      </c>
      <c r="D12">
        <v>2239.6563163481937</v>
      </c>
      <c r="E12">
        <v>10.222737955557788</v>
      </c>
      <c r="F12">
        <v>4.9920118020615068E-3</v>
      </c>
    </row>
    <row r="13" spans="1:9" x14ac:dyDescent="0.3">
      <c r="A13" t="s">
        <v>15</v>
      </c>
      <c r="B13">
        <v>18</v>
      </c>
      <c r="C13">
        <v>3943.5436836518052</v>
      </c>
      <c r="D13">
        <v>219.08576020287808</v>
      </c>
    </row>
    <row r="14" spans="1:9" ht="14.55" thickBot="1" x14ac:dyDescent="0.35">
      <c r="A14" s="3" t="s">
        <v>16</v>
      </c>
      <c r="B14" s="3">
        <v>19</v>
      </c>
      <c r="C14" s="3">
        <v>6183.1999999999989</v>
      </c>
      <c r="D14" s="3"/>
      <c r="E14" s="3"/>
      <c r="F14" s="3"/>
    </row>
    <row r="15" spans="1:9" ht="14.55" thickBot="1" x14ac:dyDescent="0.35"/>
    <row r="16" spans="1:9" x14ac:dyDescent="0.3">
      <c r="A16" s="4"/>
      <c r="B16" s="4" t="s">
        <v>23</v>
      </c>
      <c r="C16" s="4" t="s">
        <v>11</v>
      </c>
      <c r="D16" s="4" t="s">
        <v>24</v>
      </c>
      <c r="E16" s="4" t="s">
        <v>25</v>
      </c>
      <c r="F16" s="4" t="s">
        <v>26</v>
      </c>
      <c r="G16" s="4" t="s">
        <v>27</v>
      </c>
      <c r="H16" s="4" t="s">
        <v>28</v>
      </c>
      <c r="I16" s="4" t="s">
        <v>29</v>
      </c>
    </row>
    <row r="17" spans="1:9" x14ac:dyDescent="0.3">
      <c r="A17" t="s">
        <v>17</v>
      </c>
      <c r="B17">
        <v>7.7710721868365269</v>
      </c>
      <c r="C17">
        <v>15.07671352080455</v>
      </c>
      <c r="D17">
        <v>0.51543542139426646</v>
      </c>
      <c r="E17">
        <v>0.61252135938658847</v>
      </c>
      <c r="F17">
        <v>-23.903927543421808</v>
      </c>
      <c r="G17">
        <v>39.446071917094862</v>
      </c>
      <c r="H17">
        <v>-23.903927543421808</v>
      </c>
      <c r="I17">
        <v>39.446071917094862</v>
      </c>
    </row>
    <row r="18" spans="1:9" ht="14.55" thickBot="1" x14ac:dyDescent="0.35">
      <c r="A18" s="3" t="s">
        <v>30</v>
      </c>
      <c r="B18" s="3">
        <v>0.77096602972399131</v>
      </c>
      <c r="C18" s="3">
        <v>0.24113021222370357</v>
      </c>
      <c r="D18" s="3">
        <v>3.1973016679002608</v>
      </c>
      <c r="E18" s="3">
        <v>4.9920118020615068E-3</v>
      </c>
      <c r="F18" s="3">
        <v>0.2643702522952136</v>
      </c>
      <c r="G18" s="3">
        <v>1.277561807152769</v>
      </c>
      <c r="H18" s="3">
        <v>0.2643702522952136</v>
      </c>
      <c r="I18" s="3">
        <v>1.277561807152769</v>
      </c>
    </row>
    <row r="22" spans="1:9" x14ac:dyDescent="0.3">
      <c r="A22" t="s">
        <v>31</v>
      </c>
    </row>
    <row r="23" spans="1:9" ht="14.55" thickBot="1" x14ac:dyDescent="0.35"/>
    <row r="24" spans="1:9" x14ac:dyDescent="0.3">
      <c r="A24" s="4" t="s">
        <v>32</v>
      </c>
      <c r="B24" s="4" t="s">
        <v>33</v>
      </c>
      <c r="C24" s="4" t="s">
        <v>34</v>
      </c>
    </row>
    <row r="25" spans="1:9" x14ac:dyDescent="0.3">
      <c r="A25">
        <v>1</v>
      </c>
      <c r="B25">
        <v>48.632271762208063</v>
      </c>
      <c r="C25">
        <v>1.3677282377919369</v>
      </c>
    </row>
    <row r="26" spans="1:9" x14ac:dyDescent="0.3">
      <c r="A26">
        <v>2</v>
      </c>
      <c r="B26">
        <v>39.380679405520169</v>
      </c>
      <c r="C26">
        <v>-8.3806794055201692</v>
      </c>
    </row>
    <row r="27" spans="1:9" x14ac:dyDescent="0.3">
      <c r="A27">
        <v>3</v>
      </c>
      <c r="B27">
        <v>54.8</v>
      </c>
      <c r="C27">
        <v>-19.799999999999997</v>
      </c>
    </row>
    <row r="28" spans="1:9" x14ac:dyDescent="0.3">
      <c r="A28">
        <v>4</v>
      </c>
      <c r="B28">
        <v>50.945169851380037</v>
      </c>
      <c r="C28">
        <v>-10.945169851380037</v>
      </c>
    </row>
    <row r="29" spans="1:9" x14ac:dyDescent="0.3">
      <c r="A29">
        <v>5</v>
      </c>
      <c r="B29">
        <v>60.196762208067938</v>
      </c>
      <c r="C29">
        <v>-5.1967622080679376</v>
      </c>
    </row>
    <row r="30" spans="1:9" x14ac:dyDescent="0.3">
      <c r="A30">
        <v>6</v>
      </c>
      <c r="B30">
        <v>43.23550955414013</v>
      </c>
      <c r="C30">
        <v>21.76449044585987</v>
      </c>
    </row>
    <row r="31" spans="1:9" x14ac:dyDescent="0.3">
      <c r="A31">
        <v>7</v>
      </c>
      <c r="B31">
        <v>35.525849256900216</v>
      </c>
      <c r="C31">
        <v>-10.525849256900216</v>
      </c>
    </row>
    <row r="32" spans="1:9" x14ac:dyDescent="0.3">
      <c r="A32">
        <v>8</v>
      </c>
      <c r="B32">
        <v>61.738694267515918</v>
      </c>
      <c r="C32">
        <v>-1.7386942675159176</v>
      </c>
    </row>
    <row r="33" spans="1:3" x14ac:dyDescent="0.3">
      <c r="A33">
        <v>9</v>
      </c>
      <c r="B33">
        <v>68.677388535031838</v>
      </c>
      <c r="C33">
        <v>21.322611464968162</v>
      </c>
    </row>
    <row r="34" spans="1:3" x14ac:dyDescent="0.3">
      <c r="A34">
        <v>10</v>
      </c>
      <c r="B34">
        <v>53.258067940552017</v>
      </c>
      <c r="C34">
        <v>-18.258067940552017</v>
      </c>
    </row>
    <row r="35" spans="1:3" x14ac:dyDescent="0.3">
      <c r="A35">
        <v>11</v>
      </c>
      <c r="B35">
        <v>57.112898089171971</v>
      </c>
      <c r="C35">
        <v>32.887101910828029</v>
      </c>
    </row>
    <row r="36" spans="1:3" x14ac:dyDescent="0.3">
      <c r="A36">
        <v>12</v>
      </c>
      <c r="B36">
        <v>77.928980891719732</v>
      </c>
      <c r="C36">
        <v>2.071019108280268</v>
      </c>
    </row>
    <row r="37" spans="1:3" x14ac:dyDescent="0.3">
      <c r="A37">
        <v>13</v>
      </c>
      <c r="B37">
        <v>44.77744161358811</v>
      </c>
      <c r="C37">
        <v>13.22255838641189</v>
      </c>
    </row>
    <row r="38" spans="1:3" x14ac:dyDescent="0.3">
      <c r="A38">
        <v>14</v>
      </c>
      <c r="B38">
        <v>62.509660297239911</v>
      </c>
      <c r="C38">
        <v>-2.5096602972399111</v>
      </c>
    </row>
    <row r="39" spans="1:3" x14ac:dyDescent="0.3">
      <c r="A39">
        <v>15</v>
      </c>
      <c r="B39">
        <v>64.051592356687891</v>
      </c>
      <c r="C39">
        <v>-2.0515923566878911</v>
      </c>
    </row>
    <row r="40" spans="1:3" x14ac:dyDescent="0.3">
      <c r="A40">
        <v>16</v>
      </c>
      <c r="B40">
        <v>44.006475583864116</v>
      </c>
      <c r="C40">
        <v>-4.0064755838641162</v>
      </c>
    </row>
    <row r="41" spans="1:3" x14ac:dyDescent="0.3">
      <c r="A41">
        <v>17</v>
      </c>
      <c r="B41">
        <v>48.632271762208063</v>
      </c>
      <c r="C41">
        <v>6.3677282377919369</v>
      </c>
    </row>
    <row r="42" spans="1:3" x14ac:dyDescent="0.3">
      <c r="A42">
        <v>18</v>
      </c>
      <c r="B42">
        <v>60.196762208067938</v>
      </c>
      <c r="C42">
        <v>-10.196762208067938</v>
      </c>
    </row>
    <row r="43" spans="1:3" x14ac:dyDescent="0.3">
      <c r="A43">
        <v>19</v>
      </c>
      <c r="B43">
        <v>51.71613588110403</v>
      </c>
      <c r="C43">
        <v>13.28386411889597</v>
      </c>
    </row>
    <row r="44" spans="1:3" ht="14.55" thickBot="1" x14ac:dyDescent="0.35">
      <c r="A44" s="3">
        <v>20</v>
      </c>
      <c r="B44" s="3">
        <v>68.677388535031838</v>
      </c>
      <c r="C44" s="3">
        <v>-18.677388535031838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BABE-815C-4F0E-9176-A18D09EB1183}">
  <dimension ref="A1:I25"/>
  <sheetViews>
    <sheetView zoomScale="120" zoomScaleNormal="120" workbookViewId="0">
      <selection activeCell="D1" sqref="D1:F21"/>
    </sheetView>
  </sheetViews>
  <sheetFormatPr defaultRowHeight="14" x14ac:dyDescent="0.3"/>
  <cols>
    <col min="1" max="1" width="7.3984375" customWidth="1"/>
    <col min="2" max="2" width="16.09765625" customWidth="1"/>
    <col min="3" max="3" width="22.8984375" customWidth="1"/>
    <col min="7" max="7" width="21.296875" customWidth="1"/>
    <col min="8" max="8" width="17" customWidth="1"/>
    <col min="9" max="9" width="22.09765625" customWidth="1"/>
  </cols>
  <sheetData>
    <row r="1" spans="1:9" x14ac:dyDescent="0.3">
      <c r="A1" t="s">
        <v>2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9" x14ac:dyDescent="0.3">
      <c r="A2">
        <v>1</v>
      </c>
      <c r="B2">
        <v>50</v>
      </c>
      <c r="C2">
        <v>53</v>
      </c>
      <c r="D2">
        <f>C2*C2</f>
        <v>2809</v>
      </c>
      <c r="E2">
        <f>B2*B2</f>
        <v>2500</v>
      </c>
      <c r="F2">
        <f>C2*B2</f>
        <v>2650</v>
      </c>
    </row>
    <row r="3" spans="1:9" x14ac:dyDescent="0.3">
      <c r="A3">
        <v>2</v>
      </c>
      <c r="B3">
        <v>31</v>
      </c>
      <c r="C3">
        <v>41</v>
      </c>
      <c r="D3">
        <f t="shared" ref="D3:D21" si="0">C3*C3</f>
        <v>1681</v>
      </c>
      <c r="E3">
        <f t="shared" ref="E3:E21" si="1">B3*B3</f>
        <v>961</v>
      </c>
      <c r="F3">
        <f t="shared" ref="F3:F21" si="2">C3*B3</f>
        <v>1271</v>
      </c>
      <c r="H3" t="s">
        <v>45</v>
      </c>
    </row>
    <row r="4" spans="1:9" x14ac:dyDescent="0.3">
      <c r="A4">
        <v>3</v>
      </c>
      <c r="B4">
        <v>35</v>
      </c>
      <c r="C4">
        <v>61</v>
      </c>
      <c r="D4">
        <f t="shared" si="0"/>
        <v>3721</v>
      </c>
      <c r="E4">
        <f t="shared" si="1"/>
        <v>1225</v>
      </c>
      <c r="F4">
        <f t="shared" si="2"/>
        <v>2135</v>
      </c>
      <c r="H4" t="s">
        <v>40</v>
      </c>
      <c r="I4">
        <f>(20*F22-(C22*B22))/(SQRT(20*D22-(C22^2))*SQRT(20*E22-(B22^2)))</f>
        <v>0.60184414866095404</v>
      </c>
    </row>
    <row r="5" spans="1:9" x14ac:dyDescent="0.3">
      <c r="A5">
        <v>4</v>
      </c>
      <c r="B5">
        <v>40</v>
      </c>
      <c r="C5">
        <v>56</v>
      </c>
      <c r="D5">
        <f t="shared" si="0"/>
        <v>3136</v>
      </c>
      <c r="E5">
        <f t="shared" si="1"/>
        <v>1600</v>
      </c>
      <c r="F5">
        <f t="shared" si="2"/>
        <v>2240</v>
      </c>
    </row>
    <row r="6" spans="1:9" x14ac:dyDescent="0.3">
      <c r="A6">
        <v>5</v>
      </c>
      <c r="B6">
        <v>55</v>
      </c>
      <c r="C6">
        <v>68</v>
      </c>
      <c r="D6">
        <f t="shared" si="0"/>
        <v>4624</v>
      </c>
      <c r="E6">
        <f t="shared" si="1"/>
        <v>3025</v>
      </c>
      <c r="F6">
        <f t="shared" si="2"/>
        <v>3740</v>
      </c>
      <c r="H6" t="s">
        <v>41</v>
      </c>
    </row>
    <row r="7" spans="1:9" x14ac:dyDescent="0.3">
      <c r="A7">
        <v>6</v>
      </c>
      <c r="B7">
        <v>65</v>
      </c>
      <c r="C7">
        <v>46</v>
      </c>
      <c r="D7">
        <f t="shared" si="0"/>
        <v>2116</v>
      </c>
      <c r="E7">
        <f t="shared" si="1"/>
        <v>4225</v>
      </c>
      <c r="F7">
        <f t="shared" si="2"/>
        <v>2990</v>
      </c>
      <c r="H7" t="s">
        <v>40</v>
      </c>
      <c r="I7">
        <f>CORREL(C2:C21,B2:B21)</f>
        <v>0.6018441486609537</v>
      </c>
    </row>
    <row r="8" spans="1:9" x14ac:dyDescent="0.3">
      <c r="A8">
        <v>7</v>
      </c>
      <c r="B8">
        <v>25</v>
      </c>
      <c r="C8">
        <v>36</v>
      </c>
      <c r="D8">
        <f t="shared" si="0"/>
        <v>1296</v>
      </c>
      <c r="E8">
        <f t="shared" si="1"/>
        <v>625</v>
      </c>
      <c r="F8">
        <f t="shared" si="2"/>
        <v>900</v>
      </c>
    </row>
    <row r="9" spans="1:9" x14ac:dyDescent="0.3">
      <c r="A9">
        <v>8</v>
      </c>
      <c r="B9">
        <v>60</v>
      </c>
      <c r="C9">
        <v>70</v>
      </c>
      <c r="D9">
        <f t="shared" si="0"/>
        <v>4900</v>
      </c>
      <c r="E9">
        <f t="shared" si="1"/>
        <v>3600</v>
      </c>
      <c r="F9">
        <f t="shared" si="2"/>
        <v>4200</v>
      </c>
    </row>
    <row r="10" spans="1:9" x14ac:dyDescent="0.3">
      <c r="A10">
        <v>9</v>
      </c>
      <c r="B10">
        <v>90</v>
      </c>
      <c r="C10">
        <v>79</v>
      </c>
      <c r="D10">
        <f t="shared" si="0"/>
        <v>6241</v>
      </c>
      <c r="E10">
        <f t="shared" si="1"/>
        <v>8100</v>
      </c>
      <c r="F10">
        <f t="shared" si="2"/>
        <v>7110</v>
      </c>
    </row>
    <row r="11" spans="1:9" x14ac:dyDescent="0.3">
      <c r="A11">
        <v>10</v>
      </c>
      <c r="B11">
        <v>35</v>
      </c>
      <c r="C11">
        <v>59</v>
      </c>
      <c r="D11">
        <f t="shared" si="0"/>
        <v>3481</v>
      </c>
      <c r="E11">
        <f t="shared" si="1"/>
        <v>1225</v>
      </c>
      <c r="F11">
        <f t="shared" si="2"/>
        <v>2065</v>
      </c>
    </row>
    <row r="12" spans="1:9" x14ac:dyDescent="0.3">
      <c r="A12">
        <v>11</v>
      </c>
      <c r="B12">
        <v>90</v>
      </c>
      <c r="C12">
        <v>64</v>
      </c>
      <c r="D12">
        <f t="shared" si="0"/>
        <v>4096</v>
      </c>
      <c r="E12">
        <f t="shared" si="1"/>
        <v>8100</v>
      </c>
      <c r="F12">
        <f t="shared" si="2"/>
        <v>5760</v>
      </c>
    </row>
    <row r="13" spans="1:9" x14ac:dyDescent="0.3">
      <c r="A13">
        <v>12</v>
      </c>
      <c r="B13">
        <v>80</v>
      </c>
      <c r="C13">
        <v>91</v>
      </c>
      <c r="D13">
        <f t="shared" si="0"/>
        <v>8281</v>
      </c>
      <c r="E13">
        <f t="shared" si="1"/>
        <v>6400</v>
      </c>
      <c r="F13">
        <f t="shared" si="2"/>
        <v>7280</v>
      </c>
    </row>
    <row r="14" spans="1:9" x14ac:dyDescent="0.3">
      <c r="A14">
        <v>13</v>
      </c>
      <c r="B14">
        <v>58</v>
      </c>
      <c r="C14">
        <v>48</v>
      </c>
      <c r="D14">
        <f t="shared" si="0"/>
        <v>2304</v>
      </c>
      <c r="E14">
        <f t="shared" si="1"/>
        <v>3364</v>
      </c>
      <c r="F14">
        <f t="shared" si="2"/>
        <v>2784</v>
      </c>
    </row>
    <row r="15" spans="1:9" x14ac:dyDescent="0.3">
      <c r="A15">
        <v>14</v>
      </c>
      <c r="B15">
        <v>60</v>
      </c>
      <c r="C15">
        <v>71</v>
      </c>
      <c r="D15">
        <f t="shared" si="0"/>
        <v>5041</v>
      </c>
      <c r="E15">
        <f t="shared" si="1"/>
        <v>3600</v>
      </c>
      <c r="F15">
        <f t="shared" si="2"/>
        <v>4260</v>
      </c>
    </row>
    <row r="16" spans="1:9" x14ac:dyDescent="0.3">
      <c r="A16">
        <v>15</v>
      </c>
      <c r="B16">
        <v>62</v>
      </c>
      <c r="C16">
        <v>73</v>
      </c>
      <c r="D16">
        <f t="shared" si="0"/>
        <v>5329</v>
      </c>
      <c r="E16">
        <f t="shared" si="1"/>
        <v>3844</v>
      </c>
      <c r="F16">
        <f t="shared" si="2"/>
        <v>4526</v>
      </c>
    </row>
    <row r="17" spans="1:9" x14ac:dyDescent="0.3">
      <c r="A17">
        <v>16</v>
      </c>
      <c r="B17">
        <v>40</v>
      </c>
      <c r="C17">
        <v>47</v>
      </c>
      <c r="D17">
        <f t="shared" si="0"/>
        <v>2209</v>
      </c>
      <c r="E17">
        <f t="shared" si="1"/>
        <v>1600</v>
      </c>
      <c r="F17">
        <f t="shared" si="2"/>
        <v>1880</v>
      </c>
    </row>
    <row r="18" spans="1:9" x14ac:dyDescent="0.3">
      <c r="A18">
        <v>17</v>
      </c>
      <c r="B18">
        <v>55</v>
      </c>
      <c r="C18">
        <v>53</v>
      </c>
      <c r="D18">
        <f t="shared" si="0"/>
        <v>2809</v>
      </c>
      <c r="E18">
        <f t="shared" si="1"/>
        <v>3025</v>
      </c>
      <c r="F18">
        <f t="shared" si="2"/>
        <v>2915</v>
      </c>
    </row>
    <row r="19" spans="1:9" x14ac:dyDescent="0.3">
      <c r="A19">
        <v>18</v>
      </c>
      <c r="B19">
        <v>50</v>
      </c>
      <c r="C19">
        <v>68</v>
      </c>
      <c r="D19">
        <f t="shared" si="0"/>
        <v>4624</v>
      </c>
      <c r="E19">
        <f t="shared" si="1"/>
        <v>2500</v>
      </c>
      <c r="F19">
        <f t="shared" si="2"/>
        <v>3400</v>
      </c>
    </row>
    <row r="20" spans="1:9" x14ac:dyDescent="0.3">
      <c r="A20">
        <v>19</v>
      </c>
      <c r="B20">
        <v>65</v>
      </c>
      <c r="C20">
        <v>57</v>
      </c>
      <c r="D20">
        <f t="shared" si="0"/>
        <v>3249</v>
      </c>
      <c r="E20">
        <f t="shared" si="1"/>
        <v>4225</v>
      </c>
      <c r="F20">
        <f t="shared" si="2"/>
        <v>3705</v>
      </c>
    </row>
    <row r="21" spans="1:9" x14ac:dyDescent="0.3">
      <c r="A21">
        <v>20</v>
      </c>
      <c r="B21">
        <v>50</v>
      </c>
      <c r="C21">
        <v>79</v>
      </c>
      <c r="D21">
        <f t="shared" si="0"/>
        <v>6241</v>
      </c>
      <c r="E21">
        <f t="shared" si="1"/>
        <v>2500</v>
      </c>
      <c r="F21">
        <f t="shared" si="2"/>
        <v>3950</v>
      </c>
    </row>
    <row r="22" spans="1:9" x14ac:dyDescent="0.3">
      <c r="B22" s="1">
        <f>SUM(B2:B21)</f>
        <v>1096</v>
      </c>
      <c r="C22" s="1">
        <f t="shared" ref="C22:F22" si="3">SUM(C2:C21)</f>
        <v>1220</v>
      </c>
      <c r="D22" s="1">
        <f t="shared" si="3"/>
        <v>78188</v>
      </c>
      <c r="E22" s="1">
        <f t="shared" si="3"/>
        <v>66244</v>
      </c>
      <c r="F22" s="1">
        <f t="shared" si="3"/>
        <v>69761</v>
      </c>
      <c r="H22" s="1"/>
      <c r="I22" s="1"/>
    </row>
    <row r="25" spans="1:9" x14ac:dyDescent="0.3">
      <c r="B25" t="s">
        <v>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D600-6818-4D8E-94D8-77AA9E4D3AA7}">
  <dimension ref="B1:H29"/>
  <sheetViews>
    <sheetView zoomScale="120" zoomScaleNormal="120" workbookViewId="0">
      <selection activeCell="B2" sqref="B2:D22"/>
    </sheetView>
  </sheetViews>
  <sheetFormatPr defaultRowHeight="14" x14ac:dyDescent="0.3"/>
  <cols>
    <col min="3" max="3" width="13.69921875" customWidth="1"/>
    <col min="4" max="4" width="19.8984375" customWidth="1"/>
  </cols>
  <sheetData>
    <row r="1" spans="2:4" x14ac:dyDescent="0.3">
      <c r="C1" t="s">
        <v>4</v>
      </c>
      <c r="D1" t="s">
        <v>3</v>
      </c>
    </row>
    <row r="2" spans="2:4" x14ac:dyDescent="0.3">
      <c r="B2" s="1" t="s">
        <v>2</v>
      </c>
      <c r="C2" s="1" t="s">
        <v>0</v>
      </c>
      <c r="D2" s="1" t="s">
        <v>1</v>
      </c>
    </row>
    <row r="3" spans="2:4" x14ac:dyDescent="0.3">
      <c r="B3">
        <v>1</v>
      </c>
      <c r="C3">
        <v>50</v>
      </c>
      <c r="D3">
        <v>53</v>
      </c>
    </row>
    <row r="4" spans="2:4" x14ac:dyDescent="0.3">
      <c r="B4">
        <v>2</v>
      </c>
      <c r="C4">
        <v>31</v>
      </c>
      <c r="D4">
        <v>41</v>
      </c>
    </row>
    <row r="5" spans="2:4" x14ac:dyDescent="0.3">
      <c r="B5">
        <v>3</v>
      </c>
      <c r="C5">
        <v>35</v>
      </c>
      <c r="D5">
        <v>61</v>
      </c>
    </row>
    <row r="6" spans="2:4" x14ac:dyDescent="0.3">
      <c r="B6">
        <v>4</v>
      </c>
      <c r="C6">
        <v>40</v>
      </c>
      <c r="D6">
        <v>56</v>
      </c>
    </row>
    <row r="7" spans="2:4" x14ac:dyDescent="0.3">
      <c r="B7">
        <v>5</v>
      </c>
      <c r="C7">
        <v>55</v>
      </c>
      <c r="D7">
        <v>68</v>
      </c>
    </row>
    <row r="8" spans="2:4" x14ac:dyDescent="0.3">
      <c r="B8">
        <v>6</v>
      </c>
      <c r="C8">
        <v>65</v>
      </c>
      <c r="D8">
        <v>46</v>
      </c>
    </row>
    <row r="9" spans="2:4" x14ac:dyDescent="0.3">
      <c r="B9">
        <v>7</v>
      </c>
      <c r="C9">
        <v>25</v>
      </c>
      <c r="D9">
        <v>36</v>
      </c>
    </row>
    <row r="10" spans="2:4" x14ac:dyDescent="0.3">
      <c r="B10">
        <v>8</v>
      </c>
      <c r="C10">
        <v>60</v>
      </c>
      <c r="D10">
        <v>70</v>
      </c>
    </row>
    <row r="11" spans="2:4" x14ac:dyDescent="0.3">
      <c r="B11">
        <v>9</v>
      </c>
      <c r="C11">
        <v>90</v>
      </c>
      <c r="D11">
        <v>79</v>
      </c>
    </row>
    <row r="12" spans="2:4" x14ac:dyDescent="0.3">
      <c r="B12">
        <v>10</v>
      </c>
      <c r="C12">
        <v>35</v>
      </c>
      <c r="D12">
        <v>59</v>
      </c>
    </row>
    <row r="13" spans="2:4" x14ac:dyDescent="0.3">
      <c r="B13">
        <v>11</v>
      </c>
      <c r="C13">
        <v>90</v>
      </c>
      <c r="D13">
        <v>64</v>
      </c>
    </row>
    <row r="14" spans="2:4" x14ac:dyDescent="0.3">
      <c r="B14">
        <v>12</v>
      </c>
      <c r="C14">
        <v>80</v>
      </c>
      <c r="D14">
        <v>91</v>
      </c>
    </row>
    <row r="15" spans="2:4" x14ac:dyDescent="0.3">
      <c r="B15">
        <v>13</v>
      </c>
      <c r="C15">
        <v>58</v>
      </c>
      <c r="D15">
        <v>48</v>
      </c>
    </row>
    <row r="16" spans="2:4" x14ac:dyDescent="0.3">
      <c r="B16">
        <v>14</v>
      </c>
      <c r="C16">
        <v>60</v>
      </c>
      <c r="D16">
        <v>71</v>
      </c>
    </row>
    <row r="17" spans="2:8" x14ac:dyDescent="0.3">
      <c r="B17">
        <v>15</v>
      </c>
      <c r="C17">
        <v>62</v>
      </c>
      <c r="D17">
        <v>73</v>
      </c>
    </row>
    <row r="18" spans="2:8" x14ac:dyDescent="0.3">
      <c r="B18">
        <v>16</v>
      </c>
      <c r="C18">
        <v>40</v>
      </c>
      <c r="D18">
        <v>47</v>
      </c>
    </row>
    <row r="19" spans="2:8" x14ac:dyDescent="0.3">
      <c r="B19">
        <v>17</v>
      </c>
      <c r="C19">
        <v>55</v>
      </c>
      <c r="D19">
        <v>53</v>
      </c>
    </row>
    <row r="20" spans="2:8" x14ac:dyDescent="0.3">
      <c r="B20">
        <v>18</v>
      </c>
      <c r="C20">
        <v>50</v>
      </c>
      <c r="D20">
        <v>68</v>
      </c>
    </row>
    <row r="21" spans="2:8" x14ac:dyDescent="0.3">
      <c r="B21">
        <v>19</v>
      </c>
      <c r="C21">
        <v>65</v>
      </c>
      <c r="D21">
        <v>57</v>
      </c>
    </row>
    <row r="22" spans="2:8" x14ac:dyDescent="0.3">
      <c r="B22">
        <v>20</v>
      </c>
      <c r="C22">
        <v>50</v>
      </c>
      <c r="D22">
        <v>79</v>
      </c>
    </row>
    <row r="23" spans="2:8" x14ac:dyDescent="0.3">
      <c r="H23" s="1"/>
    </row>
    <row r="27" spans="2:8" x14ac:dyDescent="0.3">
      <c r="D27" s="2"/>
    </row>
    <row r="28" spans="2:8" x14ac:dyDescent="0.3">
      <c r="D28" s="2"/>
    </row>
    <row r="29" spans="2:8" x14ac:dyDescent="0.3">
      <c r="D29" s="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6CA7-8626-47E1-8D05-144CF1DCD222}">
  <dimension ref="A1:J34"/>
  <sheetViews>
    <sheetView tabSelected="1" zoomScale="150" zoomScaleNormal="150" workbookViewId="0">
      <selection activeCell="B1" sqref="B1:C21"/>
    </sheetView>
  </sheetViews>
  <sheetFormatPr defaultRowHeight="14" x14ac:dyDescent="0.3"/>
  <cols>
    <col min="2" max="2" width="17.8984375" customWidth="1"/>
    <col min="3" max="3" width="23.59765625" customWidth="1"/>
    <col min="6" max="6" width="11" customWidth="1"/>
    <col min="8" max="8" width="12.59765625" customWidth="1"/>
    <col min="9" max="9" width="13.3984375" customWidth="1"/>
    <col min="10" max="10" width="16" customWidth="1"/>
  </cols>
  <sheetData>
    <row r="1" spans="1:10" x14ac:dyDescent="0.3">
      <c r="A1" s="1" t="s">
        <v>2</v>
      </c>
      <c r="B1" s="1" t="s">
        <v>35</v>
      </c>
      <c r="C1" s="1" t="s">
        <v>36</v>
      </c>
      <c r="D1" s="1" t="s">
        <v>38</v>
      </c>
      <c r="E1" s="1" t="s">
        <v>37</v>
      </c>
      <c r="F1" s="1" t="s">
        <v>39</v>
      </c>
      <c r="G1" s="1" t="s">
        <v>56</v>
      </c>
      <c r="H1" s="1" t="s">
        <v>57</v>
      </c>
      <c r="I1" s="1" t="s">
        <v>58</v>
      </c>
      <c r="J1" s="1" t="s">
        <v>62</v>
      </c>
    </row>
    <row r="2" spans="1:10" x14ac:dyDescent="0.3">
      <c r="A2">
        <v>1</v>
      </c>
      <c r="B2">
        <v>50</v>
      </c>
      <c r="C2">
        <v>53</v>
      </c>
      <c r="D2">
        <f>B2*B2</f>
        <v>2500</v>
      </c>
      <c r="E2">
        <f>C2*C2</f>
        <v>2809</v>
      </c>
      <c r="F2">
        <f>D2*E2</f>
        <v>7022500</v>
      </c>
      <c r="G2">
        <f>$C$24+$C$26*C2</f>
        <v>48.632271762208063</v>
      </c>
      <c r="H2" s="6">
        <f>B2-G2</f>
        <v>1.3677282377919369</v>
      </c>
      <c r="I2">
        <f>(B2-G2)^2</f>
        <v>1.870680532453437</v>
      </c>
      <c r="J2">
        <f>(G2-$F$25)^2</f>
        <v>38.040871615255995</v>
      </c>
    </row>
    <row r="3" spans="1:10" x14ac:dyDescent="0.3">
      <c r="A3">
        <v>2</v>
      </c>
      <c r="B3">
        <v>31</v>
      </c>
      <c r="C3">
        <v>41</v>
      </c>
      <c r="D3">
        <f t="shared" ref="D3:D21" si="0">B3*B3</f>
        <v>961</v>
      </c>
      <c r="E3">
        <f t="shared" ref="E3:E21" si="1">C3*C3</f>
        <v>1681</v>
      </c>
      <c r="F3">
        <f t="shared" ref="F3:F21" si="2">D3*E3</f>
        <v>1615441</v>
      </c>
      <c r="G3">
        <f t="shared" ref="G3:G21" si="3">$C$24+$C$26*C3</f>
        <v>39.380679405520169</v>
      </c>
      <c r="H3" s="6">
        <f t="shared" ref="H3:H21" si="4">B3-G3</f>
        <v>-8.3806794055201692</v>
      </c>
      <c r="I3">
        <f t="shared" ref="I3:I21" si="5">(B3-G3)^2</f>
        <v>70.235787298109898</v>
      </c>
      <c r="J3">
        <f t="shared" ref="J3:J21" si="6">(G3-$F$25)^2</f>
        <v>237.75544759534975</v>
      </c>
    </row>
    <row r="4" spans="1:10" x14ac:dyDescent="0.3">
      <c r="A4">
        <v>3</v>
      </c>
      <c r="B4">
        <v>35</v>
      </c>
      <c r="C4">
        <v>61</v>
      </c>
      <c r="D4">
        <f t="shared" si="0"/>
        <v>1225</v>
      </c>
      <c r="E4">
        <f t="shared" si="1"/>
        <v>3721</v>
      </c>
      <c r="F4">
        <f t="shared" si="2"/>
        <v>4558225</v>
      </c>
      <c r="G4">
        <f t="shared" si="3"/>
        <v>54.8</v>
      </c>
      <c r="H4" s="6">
        <f t="shared" si="4"/>
        <v>-19.799999999999997</v>
      </c>
      <c r="I4">
        <f t="shared" si="5"/>
        <v>392.03999999999991</v>
      </c>
      <c r="J4">
        <f t="shared" si="6"/>
        <v>0</v>
      </c>
    </row>
    <row r="5" spans="1:10" x14ac:dyDescent="0.3">
      <c r="A5">
        <v>4</v>
      </c>
      <c r="B5">
        <v>40</v>
      </c>
      <c r="C5">
        <v>56</v>
      </c>
      <c r="D5">
        <f t="shared" si="0"/>
        <v>1600</v>
      </c>
      <c r="E5">
        <f t="shared" si="1"/>
        <v>3136</v>
      </c>
      <c r="F5">
        <f t="shared" si="2"/>
        <v>5017600</v>
      </c>
      <c r="G5">
        <f t="shared" si="3"/>
        <v>50.945169851380037</v>
      </c>
      <c r="H5" s="6">
        <f t="shared" si="4"/>
        <v>-10.945169851380037</v>
      </c>
      <c r="I5">
        <f t="shared" si="5"/>
        <v>119.7967430755585</v>
      </c>
      <c r="J5">
        <f t="shared" si="6"/>
        <v>14.859715474709388</v>
      </c>
    </row>
    <row r="6" spans="1:10" x14ac:dyDescent="0.3">
      <c r="A6">
        <v>5</v>
      </c>
      <c r="B6">
        <v>55</v>
      </c>
      <c r="C6">
        <v>68</v>
      </c>
      <c r="D6">
        <f t="shared" si="0"/>
        <v>3025</v>
      </c>
      <c r="E6">
        <f t="shared" si="1"/>
        <v>4624</v>
      </c>
      <c r="F6">
        <f t="shared" si="2"/>
        <v>13987600</v>
      </c>
      <c r="G6">
        <f t="shared" si="3"/>
        <v>60.196762208067938</v>
      </c>
      <c r="H6" s="6">
        <f t="shared" si="4"/>
        <v>-5.1967622080679376</v>
      </c>
      <c r="I6">
        <f t="shared" si="5"/>
        <v>27.006337447203148</v>
      </c>
      <c r="J6">
        <f t="shared" si="6"/>
        <v>29.125042330430354</v>
      </c>
    </row>
    <row r="7" spans="1:10" x14ac:dyDescent="0.3">
      <c r="A7">
        <v>6</v>
      </c>
      <c r="B7">
        <v>65</v>
      </c>
      <c r="C7">
        <v>46</v>
      </c>
      <c r="D7">
        <f t="shared" si="0"/>
        <v>4225</v>
      </c>
      <c r="E7">
        <f t="shared" si="1"/>
        <v>2116</v>
      </c>
      <c r="F7">
        <f t="shared" si="2"/>
        <v>8940100</v>
      </c>
      <c r="G7">
        <f t="shared" si="3"/>
        <v>43.235509554140123</v>
      </c>
      <c r="H7" s="6">
        <f t="shared" si="4"/>
        <v>21.764490445859877</v>
      </c>
      <c r="I7">
        <f t="shared" si="5"/>
        <v>473.69304436792589</v>
      </c>
      <c r="J7">
        <f t="shared" si="6"/>
        <v>133.73743927238431</v>
      </c>
    </row>
    <row r="8" spans="1:10" x14ac:dyDescent="0.3">
      <c r="A8">
        <v>7</v>
      </c>
      <c r="B8">
        <v>25</v>
      </c>
      <c r="C8">
        <v>36</v>
      </c>
      <c r="D8">
        <f t="shared" si="0"/>
        <v>625</v>
      </c>
      <c r="E8">
        <f t="shared" si="1"/>
        <v>1296</v>
      </c>
      <c r="F8">
        <f t="shared" si="2"/>
        <v>810000</v>
      </c>
      <c r="G8">
        <f t="shared" si="3"/>
        <v>35.525849256900216</v>
      </c>
      <c r="H8" s="6">
        <f t="shared" si="4"/>
        <v>-10.525849256900216</v>
      </c>
      <c r="I8">
        <f t="shared" si="5"/>
        <v>110.79350257898682</v>
      </c>
      <c r="J8">
        <f t="shared" si="6"/>
        <v>371.49288686773383</v>
      </c>
    </row>
    <row r="9" spans="1:10" x14ac:dyDescent="0.3">
      <c r="A9">
        <v>8</v>
      </c>
      <c r="B9">
        <v>60</v>
      </c>
      <c r="C9">
        <v>70</v>
      </c>
      <c r="D9">
        <f t="shared" si="0"/>
        <v>3600</v>
      </c>
      <c r="E9">
        <f t="shared" si="1"/>
        <v>4900</v>
      </c>
      <c r="F9">
        <f t="shared" si="2"/>
        <v>17640000</v>
      </c>
      <c r="G9">
        <f t="shared" si="3"/>
        <v>61.738694267515918</v>
      </c>
      <c r="H9" s="6">
        <f t="shared" si="4"/>
        <v>-1.7386942675159176</v>
      </c>
      <c r="I9">
        <f t="shared" si="5"/>
        <v>3.0230577558927134</v>
      </c>
      <c r="J9">
        <f t="shared" si="6"/>
        <v>48.145478138058294</v>
      </c>
    </row>
    <row r="10" spans="1:10" x14ac:dyDescent="0.3">
      <c r="A10">
        <v>9</v>
      </c>
      <c r="B10">
        <v>90</v>
      </c>
      <c r="C10">
        <v>79</v>
      </c>
      <c r="D10">
        <f t="shared" si="0"/>
        <v>8100</v>
      </c>
      <c r="E10">
        <f t="shared" si="1"/>
        <v>6241</v>
      </c>
      <c r="F10">
        <f t="shared" si="2"/>
        <v>50552100</v>
      </c>
      <c r="G10">
        <f t="shared" si="3"/>
        <v>68.677388535031838</v>
      </c>
      <c r="H10" s="6">
        <f t="shared" si="4"/>
        <v>21.322611464968162</v>
      </c>
      <c r="I10">
        <f t="shared" si="5"/>
        <v>454.6537596859917</v>
      </c>
      <c r="J10">
        <f t="shared" si="6"/>
        <v>192.58191255223318</v>
      </c>
    </row>
    <row r="11" spans="1:10" x14ac:dyDescent="0.3">
      <c r="A11">
        <v>10</v>
      </c>
      <c r="B11">
        <v>35</v>
      </c>
      <c r="C11">
        <v>59</v>
      </c>
      <c r="D11">
        <f t="shared" si="0"/>
        <v>1225</v>
      </c>
      <c r="E11">
        <f t="shared" si="1"/>
        <v>3481</v>
      </c>
      <c r="F11">
        <f t="shared" si="2"/>
        <v>4264225</v>
      </c>
      <c r="G11">
        <f t="shared" si="3"/>
        <v>53.25806794055201</v>
      </c>
      <c r="H11" s="6">
        <f t="shared" si="4"/>
        <v>-18.25806794055201</v>
      </c>
      <c r="I11">
        <f t="shared" si="5"/>
        <v>333.3570449218131</v>
      </c>
      <c r="J11">
        <f t="shared" si="6"/>
        <v>2.3775544759535108</v>
      </c>
    </row>
    <row r="12" spans="1:10" x14ac:dyDescent="0.3">
      <c r="A12">
        <v>11</v>
      </c>
      <c r="B12">
        <v>90</v>
      </c>
      <c r="C12">
        <v>64</v>
      </c>
      <c r="D12">
        <f t="shared" si="0"/>
        <v>8100</v>
      </c>
      <c r="E12">
        <f t="shared" si="1"/>
        <v>4096</v>
      </c>
      <c r="F12">
        <f t="shared" si="2"/>
        <v>33177600</v>
      </c>
      <c r="G12">
        <f t="shared" si="3"/>
        <v>57.112898089171971</v>
      </c>
      <c r="H12" s="6">
        <f t="shared" si="4"/>
        <v>32.887101910828029</v>
      </c>
      <c r="I12">
        <f t="shared" si="5"/>
        <v>1081.5614720931885</v>
      </c>
      <c r="J12">
        <f t="shared" si="6"/>
        <v>5.349497570895366</v>
      </c>
    </row>
    <row r="13" spans="1:10" x14ac:dyDescent="0.3">
      <c r="A13">
        <v>12</v>
      </c>
      <c r="B13">
        <v>80</v>
      </c>
      <c r="C13">
        <v>91</v>
      </c>
      <c r="D13">
        <f t="shared" si="0"/>
        <v>6400</v>
      </c>
      <c r="E13">
        <f t="shared" si="1"/>
        <v>8281</v>
      </c>
      <c r="F13">
        <f t="shared" si="2"/>
        <v>52998400</v>
      </c>
      <c r="G13">
        <f t="shared" si="3"/>
        <v>77.928980891719732</v>
      </c>
      <c r="H13" s="6">
        <f t="shared" si="4"/>
        <v>2.071019108280268</v>
      </c>
      <c r="I13">
        <f t="shared" si="5"/>
        <v>4.2891201468619968</v>
      </c>
      <c r="J13">
        <f t="shared" si="6"/>
        <v>534.94975708953666</v>
      </c>
    </row>
    <row r="14" spans="1:10" x14ac:dyDescent="0.3">
      <c r="A14">
        <v>13</v>
      </c>
      <c r="B14">
        <v>58</v>
      </c>
      <c r="C14">
        <v>48</v>
      </c>
      <c r="D14">
        <f t="shared" si="0"/>
        <v>3364</v>
      </c>
      <c r="E14">
        <f t="shared" si="1"/>
        <v>2304</v>
      </c>
      <c r="F14">
        <f t="shared" si="2"/>
        <v>7750656</v>
      </c>
      <c r="G14">
        <f t="shared" si="3"/>
        <v>44.77744161358811</v>
      </c>
      <c r="H14" s="6">
        <f t="shared" si="4"/>
        <v>13.22255838641189</v>
      </c>
      <c r="I14">
        <f t="shared" si="5"/>
        <v>174.83605028207143</v>
      </c>
      <c r="J14">
        <f t="shared" si="6"/>
        <v>100.45167660903526</v>
      </c>
    </row>
    <row r="15" spans="1:10" x14ac:dyDescent="0.3">
      <c r="A15">
        <v>14</v>
      </c>
      <c r="B15">
        <v>60</v>
      </c>
      <c r="C15">
        <v>71</v>
      </c>
      <c r="D15">
        <f t="shared" si="0"/>
        <v>3600</v>
      </c>
      <c r="E15">
        <f t="shared" si="1"/>
        <v>5041</v>
      </c>
      <c r="F15">
        <f t="shared" si="2"/>
        <v>18147600</v>
      </c>
      <c r="G15">
        <f t="shared" si="3"/>
        <v>62.509660297239911</v>
      </c>
      <c r="H15" s="6">
        <f t="shared" si="4"/>
        <v>-2.5096602972399111</v>
      </c>
      <c r="I15">
        <f t="shared" si="5"/>
        <v>6.2983948075423193</v>
      </c>
      <c r="J15">
        <f t="shared" si="6"/>
        <v>59.438861898837438</v>
      </c>
    </row>
    <row r="16" spans="1:10" x14ac:dyDescent="0.3">
      <c r="A16">
        <v>15</v>
      </c>
      <c r="B16">
        <v>62</v>
      </c>
      <c r="C16">
        <v>73</v>
      </c>
      <c r="D16">
        <f t="shared" si="0"/>
        <v>3844</v>
      </c>
      <c r="E16">
        <f t="shared" si="1"/>
        <v>5329</v>
      </c>
      <c r="F16">
        <f t="shared" si="2"/>
        <v>20484676</v>
      </c>
      <c r="G16">
        <f t="shared" si="3"/>
        <v>64.051592356687891</v>
      </c>
      <c r="H16" s="6">
        <f t="shared" si="4"/>
        <v>-2.0515923566878911</v>
      </c>
      <c r="I16">
        <f t="shared" si="5"/>
        <v>4.2090311980201749</v>
      </c>
      <c r="J16">
        <f t="shared" si="6"/>
        <v>85.591961134325857</v>
      </c>
    </row>
    <row r="17" spans="1:10" x14ac:dyDescent="0.3">
      <c r="A17">
        <v>16</v>
      </c>
      <c r="B17">
        <v>40</v>
      </c>
      <c r="C17">
        <v>47</v>
      </c>
      <c r="D17">
        <f t="shared" si="0"/>
        <v>1600</v>
      </c>
      <c r="E17">
        <f t="shared" si="1"/>
        <v>2209</v>
      </c>
      <c r="F17">
        <f t="shared" si="2"/>
        <v>3534400</v>
      </c>
      <c r="G17">
        <f t="shared" si="3"/>
        <v>44.006475583864116</v>
      </c>
      <c r="H17" s="6">
        <f t="shared" si="4"/>
        <v>-4.0064755838641162</v>
      </c>
      <c r="I17">
        <f t="shared" si="5"/>
        <v>16.05184660409931</v>
      </c>
      <c r="J17">
        <f t="shared" si="6"/>
        <v>116.50016932172142</v>
      </c>
    </row>
    <row r="18" spans="1:10" x14ac:dyDescent="0.3">
      <c r="A18">
        <v>17</v>
      </c>
      <c r="B18">
        <v>55</v>
      </c>
      <c r="C18">
        <v>53</v>
      </c>
      <c r="D18">
        <f t="shared" si="0"/>
        <v>3025</v>
      </c>
      <c r="E18">
        <f t="shared" si="1"/>
        <v>2809</v>
      </c>
      <c r="F18">
        <f t="shared" si="2"/>
        <v>8497225</v>
      </c>
      <c r="G18">
        <f t="shared" si="3"/>
        <v>48.632271762208063</v>
      </c>
      <c r="H18" s="6">
        <f t="shared" si="4"/>
        <v>6.3677282377919369</v>
      </c>
      <c r="I18">
        <f t="shared" si="5"/>
        <v>40.547962910372803</v>
      </c>
      <c r="J18">
        <f t="shared" si="6"/>
        <v>38.040871615255995</v>
      </c>
    </row>
    <row r="19" spans="1:10" x14ac:dyDescent="0.3">
      <c r="A19">
        <v>18</v>
      </c>
      <c r="B19">
        <v>50</v>
      </c>
      <c r="C19">
        <v>68</v>
      </c>
      <c r="D19">
        <f t="shared" si="0"/>
        <v>2500</v>
      </c>
      <c r="E19">
        <f t="shared" si="1"/>
        <v>4624</v>
      </c>
      <c r="F19">
        <f t="shared" si="2"/>
        <v>11560000</v>
      </c>
      <c r="G19">
        <f t="shared" si="3"/>
        <v>60.196762208067938</v>
      </c>
      <c r="H19" s="6">
        <f t="shared" si="4"/>
        <v>-10.196762208067938</v>
      </c>
      <c r="I19">
        <f t="shared" si="5"/>
        <v>103.97395952788253</v>
      </c>
      <c r="J19">
        <f t="shared" si="6"/>
        <v>29.125042330430354</v>
      </c>
    </row>
    <row r="20" spans="1:10" x14ac:dyDescent="0.3">
      <c r="A20">
        <v>19</v>
      </c>
      <c r="B20">
        <v>65</v>
      </c>
      <c r="C20">
        <v>57</v>
      </c>
      <c r="D20">
        <f t="shared" si="0"/>
        <v>4225</v>
      </c>
      <c r="E20">
        <f t="shared" si="1"/>
        <v>3249</v>
      </c>
      <c r="F20">
        <f t="shared" si="2"/>
        <v>13727025</v>
      </c>
      <c r="G20">
        <f t="shared" si="3"/>
        <v>51.71613588110403</v>
      </c>
      <c r="H20" s="6">
        <f t="shared" si="4"/>
        <v>13.28386411889597</v>
      </c>
      <c r="I20">
        <f t="shared" si="5"/>
        <v>176.4610459292918</v>
      </c>
      <c r="J20">
        <f t="shared" si="6"/>
        <v>9.5102179038139987</v>
      </c>
    </row>
    <row r="21" spans="1:10" x14ac:dyDescent="0.3">
      <c r="A21">
        <v>20</v>
      </c>
      <c r="B21">
        <v>50</v>
      </c>
      <c r="C21">
        <v>79</v>
      </c>
      <c r="D21">
        <f t="shared" si="0"/>
        <v>2500</v>
      </c>
      <c r="E21">
        <f t="shared" si="1"/>
        <v>6241</v>
      </c>
      <c r="F21">
        <f t="shared" si="2"/>
        <v>15602500</v>
      </c>
      <c r="G21">
        <f t="shared" si="3"/>
        <v>68.677388535031838</v>
      </c>
      <c r="H21" s="6">
        <f t="shared" si="4"/>
        <v>-18.677388535031838</v>
      </c>
      <c r="I21">
        <f t="shared" si="5"/>
        <v>348.84484248853875</v>
      </c>
      <c r="J21">
        <f t="shared" si="6"/>
        <v>192.58191255223318</v>
      </c>
    </row>
    <row r="22" spans="1:10" x14ac:dyDescent="0.3">
      <c r="B22" s="1">
        <f>SUM(B2:B21)</f>
        <v>1096</v>
      </c>
      <c r="C22" s="1">
        <f t="shared" ref="C22:J22" si="7">SUM(C2:C21)</f>
        <v>1220</v>
      </c>
      <c r="D22" s="1">
        <f t="shared" si="7"/>
        <v>66244</v>
      </c>
      <c r="E22" s="1">
        <f t="shared" si="7"/>
        <v>78188</v>
      </c>
      <c r="F22" s="1">
        <f t="shared" si="7"/>
        <v>299887873</v>
      </c>
      <c r="G22" s="1">
        <f t="shared" si="7"/>
        <v>1095.9999999999998</v>
      </c>
      <c r="H22" s="7">
        <f t="shared" si="7"/>
        <v>9.2370555648813024E-14</v>
      </c>
      <c r="I22" s="7">
        <f t="shared" si="7"/>
        <v>3943.5436836518047</v>
      </c>
      <c r="J22" s="7">
        <f t="shared" si="7"/>
        <v>2239.6563163481942</v>
      </c>
    </row>
    <row r="24" spans="1:10" x14ac:dyDescent="0.3">
      <c r="B24" t="s">
        <v>17</v>
      </c>
      <c r="C24">
        <f>INTERCEPT(B2:B21,C2:C21)</f>
        <v>7.7710721868365198</v>
      </c>
    </row>
    <row r="25" spans="1:10" x14ac:dyDescent="0.3">
      <c r="E25" t="s">
        <v>61</v>
      </c>
      <c r="F25">
        <f>B22/20</f>
        <v>54.8</v>
      </c>
    </row>
    <row r="26" spans="1:10" x14ac:dyDescent="0.3">
      <c r="B26" t="s">
        <v>55</v>
      </c>
      <c r="C26">
        <f>SLOPE(B2:B21,C2:C21)</f>
        <v>0.77096602972399142</v>
      </c>
    </row>
    <row r="28" spans="1:10" x14ac:dyDescent="0.3">
      <c r="B28" t="s">
        <v>59</v>
      </c>
      <c r="C28">
        <v>3943.5437000000002</v>
      </c>
    </row>
    <row r="29" spans="1:10" x14ac:dyDescent="0.3">
      <c r="B29" t="s">
        <v>60</v>
      </c>
      <c r="C29" s="7">
        <v>2239.6563000000001</v>
      </c>
    </row>
    <row r="30" spans="1:10" x14ac:dyDescent="0.3">
      <c r="B30" t="s">
        <v>63</v>
      </c>
      <c r="C30" s="6">
        <f>C28+C29</f>
        <v>6183.2000000000007</v>
      </c>
    </row>
    <row r="32" spans="1:10" x14ac:dyDescent="0.3">
      <c r="B32" t="s">
        <v>64</v>
      </c>
      <c r="C32">
        <f>C29/C30</f>
        <v>0.3622163766334584</v>
      </c>
      <c r="E32" t="s">
        <v>40</v>
      </c>
      <c r="F32">
        <f>CORREL(B2:B21,C2:C21)</f>
        <v>0.6018441486609537</v>
      </c>
    </row>
    <row r="34" spans="2:3" x14ac:dyDescent="0.3">
      <c r="B34" t="s">
        <v>65</v>
      </c>
      <c r="C34">
        <f>SQRT(I22/20-2)</f>
        <v>13.97058281470713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2206-C2C7-490A-825C-AE4FB2D90A72}">
  <dimension ref="A1:G34"/>
  <sheetViews>
    <sheetView topLeftCell="A11" zoomScale="110" zoomScaleNormal="110" workbookViewId="0">
      <selection activeCell="C31" sqref="C31"/>
    </sheetView>
  </sheetViews>
  <sheetFormatPr defaultRowHeight="14" x14ac:dyDescent="0.3"/>
  <cols>
    <col min="2" max="2" width="19" customWidth="1"/>
    <col min="3" max="3" width="23.69921875" customWidth="1"/>
    <col min="4" max="4" width="14.59765625" customWidth="1"/>
    <col min="5" max="5" width="14.09765625" customWidth="1"/>
    <col min="6" max="6" width="11.59765625" customWidth="1"/>
  </cols>
  <sheetData>
    <row r="1" spans="1:7" x14ac:dyDescent="0.3">
      <c r="A1" t="s">
        <v>2</v>
      </c>
      <c r="B1" t="s">
        <v>35</v>
      </c>
      <c r="C1" t="s">
        <v>36</v>
      </c>
      <c r="D1" t="s">
        <v>42</v>
      </c>
      <c r="E1" t="s">
        <v>43</v>
      </c>
      <c r="F1" t="s">
        <v>5</v>
      </c>
      <c r="G1" t="s">
        <v>44</v>
      </c>
    </row>
    <row r="2" spans="1:7" x14ac:dyDescent="0.3">
      <c r="A2">
        <v>1</v>
      </c>
      <c r="B2">
        <v>50</v>
      </c>
      <c r="C2">
        <v>53</v>
      </c>
      <c r="D2">
        <f t="shared" ref="D2:D21" si="0">_xlfn.RANK.AVG(C2,$C$2:$C$21,1)</f>
        <v>6.5</v>
      </c>
      <c r="E2">
        <f t="shared" ref="E2:E21" si="1">_xlfn.RANK.AVG(B2,$B$2:$B$21,1)</f>
        <v>8</v>
      </c>
      <c r="F2">
        <f t="shared" ref="F2:F21" si="2">D2-E2</f>
        <v>-1.5</v>
      </c>
      <c r="G2">
        <f t="shared" ref="G2:G21" si="3">F2*F2</f>
        <v>2.25</v>
      </c>
    </row>
    <row r="3" spans="1:7" x14ac:dyDescent="0.3">
      <c r="A3">
        <v>2</v>
      </c>
      <c r="B3">
        <v>31</v>
      </c>
      <c r="C3">
        <v>41</v>
      </c>
      <c r="D3">
        <f t="shared" si="0"/>
        <v>2</v>
      </c>
      <c r="E3">
        <f t="shared" si="1"/>
        <v>2</v>
      </c>
      <c r="F3">
        <f t="shared" si="2"/>
        <v>0</v>
      </c>
      <c r="G3">
        <f t="shared" si="3"/>
        <v>0</v>
      </c>
    </row>
    <row r="4" spans="1:7" x14ac:dyDescent="0.3">
      <c r="A4">
        <v>3</v>
      </c>
      <c r="B4">
        <v>35</v>
      </c>
      <c r="C4">
        <v>61</v>
      </c>
      <c r="D4">
        <f t="shared" si="0"/>
        <v>11</v>
      </c>
      <c r="E4">
        <f t="shared" si="1"/>
        <v>3.5</v>
      </c>
      <c r="F4">
        <f t="shared" si="2"/>
        <v>7.5</v>
      </c>
      <c r="G4">
        <f t="shared" si="3"/>
        <v>56.25</v>
      </c>
    </row>
    <row r="5" spans="1:7" x14ac:dyDescent="0.3">
      <c r="A5">
        <v>4</v>
      </c>
      <c r="B5">
        <v>40</v>
      </c>
      <c r="C5">
        <v>56</v>
      </c>
      <c r="D5">
        <f t="shared" si="0"/>
        <v>8</v>
      </c>
      <c r="E5">
        <f t="shared" si="1"/>
        <v>5.5</v>
      </c>
      <c r="F5">
        <f t="shared" si="2"/>
        <v>2.5</v>
      </c>
      <c r="G5">
        <f t="shared" si="3"/>
        <v>6.25</v>
      </c>
    </row>
    <row r="6" spans="1:7" x14ac:dyDescent="0.3">
      <c r="A6">
        <v>5</v>
      </c>
      <c r="B6">
        <v>55</v>
      </c>
      <c r="C6">
        <v>68</v>
      </c>
      <c r="D6">
        <f t="shared" si="0"/>
        <v>13.5</v>
      </c>
      <c r="E6">
        <f t="shared" si="1"/>
        <v>10.5</v>
      </c>
      <c r="F6">
        <f t="shared" si="2"/>
        <v>3</v>
      </c>
      <c r="G6">
        <f t="shared" si="3"/>
        <v>9</v>
      </c>
    </row>
    <row r="7" spans="1:7" x14ac:dyDescent="0.3">
      <c r="A7">
        <v>6</v>
      </c>
      <c r="B7">
        <v>65</v>
      </c>
      <c r="C7">
        <v>46</v>
      </c>
      <c r="D7">
        <f t="shared" si="0"/>
        <v>3</v>
      </c>
      <c r="E7">
        <f t="shared" si="1"/>
        <v>16.5</v>
      </c>
      <c r="F7">
        <f t="shared" si="2"/>
        <v>-13.5</v>
      </c>
      <c r="G7">
        <f t="shared" si="3"/>
        <v>182.25</v>
      </c>
    </row>
    <row r="8" spans="1:7" x14ac:dyDescent="0.3">
      <c r="A8">
        <v>7</v>
      </c>
      <c r="B8">
        <v>25</v>
      </c>
      <c r="C8">
        <v>36</v>
      </c>
      <c r="D8">
        <f t="shared" si="0"/>
        <v>1</v>
      </c>
      <c r="E8">
        <f t="shared" si="1"/>
        <v>1</v>
      </c>
      <c r="F8">
        <f t="shared" si="2"/>
        <v>0</v>
      </c>
      <c r="G8">
        <f t="shared" si="3"/>
        <v>0</v>
      </c>
    </row>
    <row r="9" spans="1:7" x14ac:dyDescent="0.3">
      <c r="A9">
        <v>8</v>
      </c>
      <c r="B9">
        <v>60</v>
      </c>
      <c r="C9">
        <v>70</v>
      </c>
      <c r="D9">
        <f t="shared" si="0"/>
        <v>15</v>
      </c>
      <c r="E9">
        <f t="shared" si="1"/>
        <v>13.5</v>
      </c>
      <c r="F9">
        <f t="shared" si="2"/>
        <v>1.5</v>
      </c>
      <c r="G9">
        <f t="shared" si="3"/>
        <v>2.25</v>
      </c>
    </row>
    <row r="10" spans="1:7" x14ac:dyDescent="0.3">
      <c r="A10">
        <v>9</v>
      </c>
      <c r="B10">
        <v>90</v>
      </c>
      <c r="C10">
        <v>79</v>
      </c>
      <c r="D10">
        <f t="shared" si="0"/>
        <v>18.5</v>
      </c>
      <c r="E10">
        <f t="shared" si="1"/>
        <v>19.5</v>
      </c>
      <c r="F10">
        <f t="shared" si="2"/>
        <v>-1</v>
      </c>
      <c r="G10">
        <f t="shared" si="3"/>
        <v>1</v>
      </c>
    </row>
    <row r="11" spans="1:7" x14ac:dyDescent="0.3">
      <c r="A11">
        <v>10</v>
      </c>
      <c r="B11">
        <v>35</v>
      </c>
      <c r="C11">
        <v>59</v>
      </c>
      <c r="D11">
        <f t="shared" si="0"/>
        <v>10</v>
      </c>
      <c r="E11">
        <f t="shared" si="1"/>
        <v>3.5</v>
      </c>
      <c r="F11">
        <f t="shared" si="2"/>
        <v>6.5</v>
      </c>
      <c r="G11">
        <f t="shared" si="3"/>
        <v>42.25</v>
      </c>
    </row>
    <row r="12" spans="1:7" x14ac:dyDescent="0.3">
      <c r="A12">
        <v>11</v>
      </c>
      <c r="B12">
        <v>90</v>
      </c>
      <c r="C12">
        <v>64</v>
      </c>
      <c r="D12">
        <f t="shared" si="0"/>
        <v>12</v>
      </c>
      <c r="E12">
        <f t="shared" si="1"/>
        <v>19.5</v>
      </c>
      <c r="F12">
        <f t="shared" si="2"/>
        <v>-7.5</v>
      </c>
      <c r="G12">
        <f t="shared" si="3"/>
        <v>56.25</v>
      </c>
    </row>
    <row r="13" spans="1:7" x14ac:dyDescent="0.3">
      <c r="A13">
        <v>12</v>
      </c>
      <c r="B13">
        <v>80</v>
      </c>
      <c r="C13">
        <v>91</v>
      </c>
      <c r="D13">
        <f t="shared" si="0"/>
        <v>20</v>
      </c>
      <c r="E13">
        <f t="shared" si="1"/>
        <v>18</v>
      </c>
      <c r="F13">
        <f t="shared" si="2"/>
        <v>2</v>
      </c>
      <c r="G13">
        <f t="shared" si="3"/>
        <v>4</v>
      </c>
    </row>
    <row r="14" spans="1:7" x14ac:dyDescent="0.3">
      <c r="A14">
        <v>13</v>
      </c>
      <c r="B14">
        <v>58</v>
      </c>
      <c r="C14">
        <v>48</v>
      </c>
      <c r="D14">
        <f t="shared" si="0"/>
        <v>5</v>
      </c>
      <c r="E14">
        <f t="shared" si="1"/>
        <v>12</v>
      </c>
      <c r="F14">
        <f t="shared" si="2"/>
        <v>-7</v>
      </c>
      <c r="G14">
        <f t="shared" si="3"/>
        <v>49</v>
      </c>
    </row>
    <row r="15" spans="1:7" x14ac:dyDescent="0.3">
      <c r="A15">
        <v>14</v>
      </c>
      <c r="B15">
        <v>60</v>
      </c>
      <c r="C15">
        <v>71</v>
      </c>
      <c r="D15">
        <f t="shared" si="0"/>
        <v>16</v>
      </c>
      <c r="E15">
        <f t="shared" si="1"/>
        <v>13.5</v>
      </c>
      <c r="F15">
        <f t="shared" si="2"/>
        <v>2.5</v>
      </c>
      <c r="G15">
        <f t="shared" si="3"/>
        <v>6.25</v>
      </c>
    </row>
    <row r="16" spans="1:7" x14ac:dyDescent="0.3">
      <c r="A16">
        <v>15</v>
      </c>
      <c r="B16">
        <v>62</v>
      </c>
      <c r="C16">
        <v>73</v>
      </c>
      <c r="D16">
        <f t="shared" si="0"/>
        <v>17</v>
      </c>
      <c r="E16">
        <f t="shared" si="1"/>
        <v>15</v>
      </c>
      <c r="F16">
        <f t="shared" si="2"/>
        <v>2</v>
      </c>
      <c r="G16">
        <f t="shared" si="3"/>
        <v>4</v>
      </c>
    </row>
    <row r="17" spans="1:7" x14ac:dyDescent="0.3">
      <c r="A17">
        <v>16</v>
      </c>
      <c r="B17">
        <v>40</v>
      </c>
      <c r="C17">
        <v>47</v>
      </c>
      <c r="D17">
        <f t="shared" si="0"/>
        <v>4</v>
      </c>
      <c r="E17">
        <f t="shared" si="1"/>
        <v>5.5</v>
      </c>
      <c r="F17">
        <f t="shared" si="2"/>
        <v>-1.5</v>
      </c>
      <c r="G17">
        <f t="shared" si="3"/>
        <v>2.25</v>
      </c>
    </row>
    <row r="18" spans="1:7" x14ac:dyDescent="0.3">
      <c r="A18">
        <v>17</v>
      </c>
      <c r="B18">
        <v>55</v>
      </c>
      <c r="C18">
        <v>53</v>
      </c>
      <c r="D18">
        <f t="shared" si="0"/>
        <v>6.5</v>
      </c>
      <c r="E18">
        <f t="shared" si="1"/>
        <v>10.5</v>
      </c>
      <c r="F18">
        <f t="shared" si="2"/>
        <v>-4</v>
      </c>
      <c r="G18">
        <f t="shared" si="3"/>
        <v>16</v>
      </c>
    </row>
    <row r="19" spans="1:7" x14ac:dyDescent="0.3">
      <c r="A19">
        <v>18</v>
      </c>
      <c r="B19">
        <v>50</v>
      </c>
      <c r="C19">
        <v>68</v>
      </c>
      <c r="D19">
        <f t="shared" si="0"/>
        <v>13.5</v>
      </c>
      <c r="E19">
        <f t="shared" si="1"/>
        <v>8</v>
      </c>
      <c r="F19">
        <f t="shared" si="2"/>
        <v>5.5</v>
      </c>
      <c r="G19">
        <f t="shared" si="3"/>
        <v>30.25</v>
      </c>
    </row>
    <row r="20" spans="1:7" x14ac:dyDescent="0.3">
      <c r="A20">
        <v>19</v>
      </c>
      <c r="B20">
        <v>65</v>
      </c>
      <c r="C20">
        <v>57</v>
      </c>
      <c r="D20">
        <f t="shared" si="0"/>
        <v>9</v>
      </c>
      <c r="E20">
        <f t="shared" si="1"/>
        <v>16.5</v>
      </c>
      <c r="F20">
        <f t="shared" si="2"/>
        <v>-7.5</v>
      </c>
      <c r="G20">
        <f t="shared" si="3"/>
        <v>56.25</v>
      </c>
    </row>
    <row r="21" spans="1:7" x14ac:dyDescent="0.3">
      <c r="A21">
        <v>20</v>
      </c>
      <c r="B21">
        <v>50</v>
      </c>
      <c r="C21">
        <v>79</v>
      </c>
      <c r="D21">
        <f t="shared" si="0"/>
        <v>18.5</v>
      </c>
      <c r="E21">
        <f t="shared" si="1"/>
        <v>8</v>
      </c>
      <c r="F21">
        <f t="shared" si="2"/>
        <v>10.5</v>
      </c>
      <c r="G21">
        <f t="shared" si="3"/>
        <v>110.25</v>
      </c>
    </row>
    <row r="22" spans="1:7" x14ac:dyDescent="0.3">
      <c r="F22">
        <f>SUM(F2:F21)</f>
        <v>0</v>
      </c>
      <c r="G22">
        <f>SUM(G2:G21)</f>
        <v>636</v>
      </c>
    </row>
    <row r="23" spans="1:7" ht="17.75" x14ac:dyDescent="0.4">
      <c r="B23" s="2" t="s">
        <v>47</v>
      </c>
      <c r="C23">
        <v>636</v>
      </c>
    </row>
    <row r="25" spans="1:7" x14ac:dyDescent="0.3">
      <c r="B25" t="s">
        <v>46</v>
      </c>
      <c r="C25">
        <v>20</v>
      </c>
    </row>
    <row r="27" spans="1:7" x14ac:dyDescent="0.3">
      <c r="B27" t="s">
        <v>48</v>
      </c>
    </row>
    <row r="28" spans="1:7" ht="16.149999999999999" x14ac:dyDescent="0.35">
      <c r="B28" s="2" t="s">
        <v>49</v>
      </c>
      <c r="C28">
        <v>1.5</v>
      </c>
    </row>
    <row r="29" spans="1:7" x14ac:dyDescent="0.3">
      <c r="B29" s="2" t="s">
        <v>50</v>
      </c>
    </row>
    <row r="30" spans="1:7" x14ac:dyDescent="0.3">
      <c r="B30" s="2" t="s">
        <v>51</v>
      </c>
      <c r="C30">
        <v>5</v>
      </c>
    </row>
    <row r="31" spans="1:7" x14ac:dyDescent="0.3">
      <c r="B31" s="2" t="s">
        <v>52</v>
      </c>
    </row>
    <row r="32" spans="1:7" x14ac:dyDescent="0.3">
      <c r="B32" s="2" t="s">
        <v>53</v>
      </c>
      <c r="C32">
        <v>642.5</v>
      </c>
    </row>
    <row r="34" spans="2:3" x14ac:dyDescent="0.3">
      <c r="B34" t="s">
        <v>54</v>
      </c>
      <c r="C34">
        <f>1-(6*C32)/(20*(20^2-1))</f>
        <v>0.51691729323308278</v>
      </c>
    </row>
  </sheetData>
  <sortState xmlns:xlrd2="http://schemas.microsoft.com/office/spreadsheetml/2017/richdata2" ref="A2:G36">
    <sortCondition ref="A1:A3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Karl Pearson corr</vt:lpstr>
      <vt:lpstr>Scatter diagram</vt:lpstr>
      <vt:lpstr>Regression Fitting</vt:lpstr>
      <vt:lpstr>Spearmans corr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Chhatkuli</dc:creator>
  <cp:lastModifiedBy>Santosh Chhatkuli</cp:lastModifiedBy>
  <dcterms:created xsi:type="dcterms:W3CDTF">2022-04-27T03:42:39Z</dcterms:created>
  <dcterms:modified xsi:type="dcterms:W3CDTF">2024-08-22T03:44:20Z</dcterms:modified>
</cp:coreProperties>
</file>